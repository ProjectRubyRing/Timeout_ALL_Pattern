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小学生向け" sheetId="2" state="visible" r:id="rId2"/>
    <sheet xmlns:r="http://schemas.openxmlformats.org/officeDocument/2006/relationships" name="02_構成と経路" sheetId="3" state="visible" r:id="rId3"/>
    <sheet xmlns:r="http://schemas.openxmlformats.org/officeDocument/2006/relationships" name="03_歴史と背景" sheetId="4" state="visible" r:id="rId4"/>
    <sheet xmlns:r="http://schemas.openxmlformats.org/officeDocument/2006/relationships" name="04_動作原理" sheetId="5" state="visible" r:id="rId5"/>
    <sheet xmlns:r="http://schemas.openxmlformats.org/officeDocument/2006/relationships" name="05_パラメータ辞典" sheetId="6" state="visible" r:id="rId6"/>
    <sheet xmlns:r="http://schemas.openxmlformats.org/officeDocument/2006/relationships" name="06_推奨値_P2" sheetId="7" state="visible" r:id="rId7"/>
    <sheet xmlns:r="http://schemas.openxmlformats.org/officeDocument/2006/relationships" name="07_推奨値_全パターン" sheetId="8" state="visible" r:id="rId8"/>
    <sheet xmlns:r="http://schemas.openxmlformats.org/officeDocument/2006/relationships" name="08_パターン比較" sheetId="9" state="visible" r:id="rId9"/>
    <sheet xmlns:r="http://schemas.openxmlformats.org/officeDocument/2006/relationships" name="09_動作イメージ" sheetId="10" state="visible" r:id="rId10"/>
    <sheet xmlns:r="http://schemas.openxmlformats.org/officeDocument/2006/relationships" name="10_障害シナリオ" sheetId="11" state="visible" r:id="rId11"/>
    <sheet xmlns:r="http://schemas.openxmlformats.org/officeDocument/2006/relationships" name="11_計算シート" sheetId="12" state="visible" r:id="rId12"/>
    <sheet xmlns:r="http://schemas.openxmlformats.org/officeDocument/2006/relationships" name="12_設定例" sheetId="13" state="visible" r:id="rId13"/>
    <sheet xmlns:r="http://schemas.openxmlformats.org/officeDocument/2006/relationships" name="13_監視とチューニング" sheetId="14" state="visible" r:id="rId14"/>
    <sheet xmlns:r="http://schemas.openxmlformats.org/officeDocument/2006/relationships" name="14_チェックリスト" sheetId="15" state="visible" r:id="rId15"/>
    <sheet xmlns:r="http://schemas.openxmlformats.org/officeDocument/2006/relationships" name="15_用語集" sheetId="16" state="visible" r:id="rId16"/>
    <sheet xmlns:r="http://schemas.openxmlformats.org/officeDocument/2006/relationships" name="16_参考資料" sheetId="17" state="visible" r:id="rId17"/>
  </sheets>
  <definedNames>
    <definedName name="_xlnm.Print_Titles" localSheetId="5">'05_パラメータ辞典'!$5:$5</definedName>
    <definedName name="_xlnm.Print_Titles" localSheetId="14">'14_チェックリスト'!$5:$5</definedName>
  </definedNames>
  <calcPr calcId="124519" fullCalcOnLoad="1"/>
</workbook>
</file>

<file path=xl/styles.xml><?xml version="1.0" encoding="utf-8"?>
<styleSheet xmlns="http://schemas.openxmlformats.org/spreadsheetml/2006/main">
  <numFmts count="0"/>
  <fonts count="19">
    <font>
      <name val="Meiryo UI"/>
      <sz val="10"/>
    </font>
    <font>
      <name val="Meiryo UI"/>
      <b val="1"/>
      <color rgb="00000000"/>
      <sz val="16"/>
    </font>
    <font>
      <name val="Meiryo UI"/>
      <color rgb="007F7F7F"/>
      <sz val="9"/>
    </font>
    <font>
      <name val="Meiryo UI"/>
      <color rgb="00404040"/>
      <sz val="10"/>
    </font>
    <font>
      <name val="Meiryo UI"/>
      <b val="1"/>
      <color rgb="00FFFFFF"/>
      <sz val="11"/>
    </font>
    <font>
      <name val="Meiryo UI"/>
      <b val="1"/>
      <color rgb="00FFFFFF"/>
      <sz val="10"/>
    </font>
    <font>
      <name val="Meiryo UI"/>
      <color rgb="00000000"/>
      <sz val="10"/>
    </font>
    <font>
      <name val="Meiryo UI"/>
      <b val="1"/>
      <color rgb="00000000"/>
      <sz val="10"/>
    </font>
    <font>
      <name val="Meiryo UI"/>
      <b val="1"/>
      <color rgb="00000000"/>
      <sz val="10"/>
      <u val="single"/>
    </font>
    <font>
      <name val="Meiryo UI"/>
      <color rgb="00595959"/>
      <sz val="9"/>
      <u val="single"/>
    </font>
    <font>
      <name val="Meiryo UI"/>
      <color rgb="00262626"/>
      <sz val="9"/>
    </font>
    <font>
      <name val="Meiryo UI"/>
      <b val="1"/>
      <color rgb="00000000"/>
      <sz val="10.5"/>
    </font>
    <font>
      <name val="Meiryo UI"/>
      <b val="1"/>
      <color rgb="00FFFFFF"/>
      <sz val="9"/>
    </font>
    <font>
      <name val="Meiryo UI"/>
      <color rgb="00FFFFFF"/>
      <sz val="7"/>
    </font>
    <font>
      <name val="Meiryo UI"/>
      <color rgb="00000000"/>
      <sz val="9"/>
    </font>
    <font>
      <name val="Meiryo UI"/>
      <b val="1"/>
      <color rgb="00000000"/>
      <sz val="9"/>
    </font>
    <font>
      <name val="Meiryo UI"/>
      <color rgb="00404040"/>
      <sz val="9"/>
    </font>
    <font>
      <name val="Meiryo UI"/>
      <b val="1"/>
      <color rgb="00000000"/>
      <sz val="11"/>
    </font>
    <font>
      <name val="Meiryo UI"/>
      <color rgb="00262626"/>
      <sz val="10"/>
      <u val="single"/>
    </font>
  </fonts>
  <fills count="11">
    <fill>
      <patternFill/>
    </fill>
    <fill>
      <patternFill patternType="gray125"/>
    </fill>
    <fill>
      <patternFill patternType="solid">
        <fgColor rgb="00404040"/>
        <bgColor rgb="00404040"/>
      </patternFill>
    </fill>
    <fill>
      <patternFill patternType="solid">
        <fgColor rgb="00595959"/>
        <bgColor rgb="00595959"/>
      </patternFill>
    </fill>
    <fill>
      <patternFill patternType="solid">
        <fgColor rgb="00F2F2F2"/>
        <bgColor rgb="00F2F2F2"/>
      </patternFill>
    </fill>
    <fill>
      <patternFill patternType="solid">
        <fgColor rgb="00D9D9D9"/>
        <bgColor rgb="00D9D9D9"/>
      </patternFill>
    </fill>
    <fill>
      <patternFill patternType="solid">
        <fgColor rgb="00E7E7E7"/>
        <bgColor rgb="00E7E7E7"/>
      </patternFill>
    </fill>
    <fill>
      <patternFill patternType="solid">
        <fgColor rgb="00A6A6A6"/>
        <bgColor rgb="00A6A6A6"/>
      </patternFill>
    </fill>
    <fill>
      <patternFill patternType="lightUp">
        <fgColor rgb="007F7F7F"/>
        <bgColor rgb="00FFFFFF"/>
      </patternFill>
    </fill>
    <fill>
      <patternFill patternType="solid">
        <fgColor rgb="00DDDDDD"/>
        <bgColor rgb="00DDDDDD"/>
      </patternFill>
    </fill>
    <fill>
      <patternFill patternType="solid">
        <fgColor rgb="00262626"/>
        <bgColor rgb="00262626"/>
      </patternFill>
    </fill>
  </fills>
  <borders count="28">
    <border>
      <left/>
      <right/>
      <top/>
      <bottom/>
      <diagonal/>
    </border>
    <border>
      <bottom style="medium">
        <color rgb="00000000"/>
      </bottom>
    </border>
    <border>
      <left/>
      <right/>
      <top/>
      <bottom style="medium">
        <color rgb="00000000"/>
      </bottom>
      <diagonal/>
    </border>
    <border>
      <left style="thin">
        <color rgb="007F7F7F"/>
      </left>
      <right style="thin">
        <color rgb="007F7F7F"/>
      </right>
      <top style="thin">
        <color rgb="007F7F7F"/>
      </top>
      <bottom style="thin">
        <color rgb="007F7F7F"/>
      </bottom>
    </border>
    <border>
      <left/>
      <right/>
      <top style="thin">
        <color rgb="007F7F7F"/>
      </top>
      <bottom/>
      <diagonal/>
    </border>
    <border>
      <left/>
      <right style="thin">
        <color rgb="007F7F7F"/>
      </right>
      <top style="thin">
        <color rgb="007F7F7F"/>
      </top>
      <bottom/>
      <diagonal/>
    </border>
    <border>
      <left/>
      <right/>
      <top style="thin">
        <color rgb="007F7F7F"/>
      </top>
      <bottom style="thin">
        <color rgb="007F7F7F"/>
      </bottom>
      <diagonal/>
    </border>
    <border>
      <left/>
      <right style="thin">
        <color rgb="007F7F7F"/>
      </right>
      <top style="thin">
        <color rgb="007F7F7F"/>
      </top>
      <bottom style="thin">
        <color rgb="007F7F7F"/>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ck">
        <color rgb="00000000"/>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595959"/>
      </left>
    </border>
    <border>
      <bottom style="thin">
        <color rgb="007F7F7F"/>
      </bottom>
    </border>
    <border>
      <left/>
      <right/>
      <top/>
      <bottom style="thin">
        <color rgb="007F7F7F"/>
      </bottom>
      <diagonal/>
    </border>
    <border>
      <top style="thin">
        <color rgb="007F7F7F"/>
      </top>
    </border>
    <border>
      <left style="hair">
        <color rgb="00D0D0D0"/>
      </left>
      <right style="hair">
        <color rgb="00D0D0D0"/>
      </right>
      <top style="hair">
        <color rgb="00E8E8E8"/>
      </top>
      <bottom style="hair">
        <color rgb="00E8E8E8"/>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64">
    <xf numFmtId="0" fontId="0" fillId="0" borderId="0" pivotButton="0" quotePrefix="0" xfId="0"/>
    <xf numFmtId="0" fontId="1" fillId="0" borderId="1" applyAlignment="1" pivotButton="0" quotePrefix="0" xfId="0">
      <alignment vertical="center"/>
    </xf>
    <xf numFmtId="0" fontId="0" fillId="0" borderId="2" pivotButton="0" quotePrefix="0" xfId="0"/>
    <xf numFmtId="0" fontId="2" fillId="0" borderId="0" applyAlignment="1" pivotButton="0" quotePrefix="0" xfId="0">
      <alignment vertical="center"/>
    </xf>
    <xf numFmtId="0" fontId="3" fillId="0" borderId="0" applyAlignment="1" pivotButton="0" quotePrefix="0" xfId="0">
      <alignment vertical="top" wrapText="1"/>
    </xf>
    <xf numFmtId="0" fontId="4" fillId="2" borderId="0" applyAlignment="1" pivotButton="0" quotePrefix="0" xfId="0">
      <alignment vertical="center"/>
    </xf>
    <xf numFmtId="0" fontId="5" fillId="3" borderId="3" applyAlignment="1" pivotButton="0" quotePrefix="0" xfId="0">
      <alignment horizontal="center" vertical="center" wrapText="1"/>
    </xf>
    <xf numFmtId="0" fontId="0" fillId="0" borderId="6" pivotButton="0" quotePrefix="0" xfId="0"/>
    <xf numFmtId="0" fontId="0" fillId="0" borderId="7" pivotButton="0" quotePrefix="0" xfId="0"/>
    <xf numFmtId="0" fontId="6" fillId="0" borderId="8" applyAlignment="1" pivotButton="0" quotePrefix="0" xfId="0">
      <alignment horizontal="left" vertical="top" wrapText="1"/>
    </xf>
    <xf numFmtId="0" fontId="0" fillId="0" borderId="11" pivotButton="0" quotePrefix="0" xfId="0"/>
    <xf numFmtId="0" fontId="0" fillId="0" borderId="12" pivotButton="0" quotePrefix="0" xfId="0"/>
    <xf numFmtId="0" fontId="6" fillId="4" borderId="8" applyAlignment="1" pivotButton="0" quotePrefix="0" xfId="0">
      <alignment horizontal="left" vertical="top" wrapText="1"/>
    </xf>
    <xf numFmtId="0" fontId="7" fillId="0" borderId="8" applyAlignment="1" pivotButton="0" quotePrefix="0" xfId="0">
      <alignment horizontal="left" vertical="top" wrapText="1"/>
    </xf>
    <xf numFmtId="0" fontId="7" fillId="4" borderId="8" applyAlignment="1" pivotButton="0" quotePrefix="0" xfId="0">
      <alignment horizontal="left" vertical="top" wrapText="1"/>
    </xf>
    <xf numFmtId="0" fontId="6" fillId="4" borderId="13" applyAlignment="1" pivotButton="0" quotePrefix="0" xfId="0">
      <alignment vertical="center" wrapText="1" indent="1"/>
    </xf>
    <xf numFmtId="0" fontId="0" fillId="0" borderId="16" pivotButton="0" quotePrefix="0" xfId="0"/>
    <xf numFmtId="0" fontId="0" fillId="0" borderId="17" pivotButton="0" quotePrefix="0" xfId="0"/>
    <xf numFmtId="0" fontId="8" fillId="0" borderId="8" applyAlignment="1" pivotButton="0" quotePrefix="0" xfId="0">
      <alignment horizontal="left" vertical="top" wrapText="1"/>
    </xf>
    <xf numFmtId="0" fontId="8" fillId="4" borderId="8" applyAlignment="1" pivotButton="0" quotePrefix="0" xfId="0">
      <alignment horizontal="left" vertical="top" wrapText="1"/>
    </xf>
    <xf numFmtId="0" fontId="9" fillId="0" borderId="0" applyAlignment="1" pivotButton="0" quotePrefix="0" xfId="0">
      <alignment vertical="center"/>
    </xf>
    <xf numFmtId="0" fontId="2" fillId="0" borderId="0" applyAlignment="1" pivotButton="0" quotePrefix="0" xfId="0">
      <alignment horizontal="right" vertical="center"/>
    </xf>
    <xf numFmtId="0" fontId="6" fillId="0" borderId="0" applyAlignment="1" pivotButton="0" quotePrefix="0" xfId="0">
      <alignment vertical="top" wrapText="1"/>
    </xf>
    <xf numFmtId="0" fontId="6" fillId="0" borderId="8" applyAlignment="1" pivotButton="0" quotePrefix="0" xfId="0">
      <alignment horizontal="center" vertical="top" wrapText="1"/>
    </xf>
    <xf numFmtId="0" fontId="6" fillId="4" borderId="8" applyAlignment="1" pivotButton="0" quotePrefix="0" xfId="0">
      <alignment horizontal="center" vertical="top" wrapText="1"/>
    </xf>
    <xf numFmtId="0" fontId="6" fillId="0" borderId="0" applyAlignment="1" pivotButton="0" quotePrefix="0" xfId="0">
      <alignment vertical="top" wrapText="1" indent="1"/>
    </xf>
    <xf numFmtId="0" fontId="0" fillId="4" borderId="18" pivotButton="0" quotePrefix="0" xfId="0"/>
    <xf numFmtId="0" fontId="10" fillId="4" borderId="18" applyAlignment="1" pivotButton="0" quotePrefix="0" xfId="0">
      <alignment vertical="top" wrapText="1" indent="1"/>
    </xf>
    <xf numFmtId="0" fontId="7" fillId="0" borderId="8" applyAlignment="1" pivotButton="0" quotePrefix="0" xfId="0">
      <alignment horizontal="center" vertical="top" wrapText="1"/>
    </xf>
    <xf numFmtId="0" fontId="7" fillId="4" borderId="8" applyAlignment="1" pivotButton="0" quotePrefix="0" xfId="0">
      <alignment horizontal="center" vertical="top" wrapText="1"/>
    </xf>
    <xf numFmtId="0" fontId="11" fillId="5" borderId="19" applyAlignment="1" pivotButton="0" quotePrefix="0" xfId="0">
      <alignment vertical="center"/>
    </xf>
    <xf numFmtId="0" fontId="0" fillId="0" borderId="20" pivotButton="0" quotePrefix="0" xfId="0"/>
    <xf numFmtId="0" fontId="12" fillId="3" borderId="0" applyAlignment="1" pivotButton="0" quotePrefix="0" xfId="0">
      <alignment horizontal="center" vertical="center"/>
    </xf>
    <xf numFmtId="0" fontId="13" fillId="3" borderId="0" applyAlignment="1" pivotButton="0" quotePrefix="0" xfId="0">
      <alignment horizontal="right" vertical="center"/>
    </xf>
    <xf numFmtId="0" fontId="7" fillId="6" borderId="21" applyAlignment="1" pivotButton="0" quotePrefix="0" xfId="0">
      <alignment vertical="center"/>
    </xf>
    <xf numFmtId="0" fontId="0" fillId="0" borderId="4" pivotButton="0" quotePrefix="0" xfId="0"/>
    <xf numFmtId="0" fontId="14" fillId="0" borderId="0" applyAlignment="1" pivotButton="0" quotePrefix="0" xfId="0">
      <alignment vertical="center" indent="1"/>
    </xf>
    <xf numFmtId="0" fontId="15" fillId="0" borderId="0" applyAlignment="1" pivotButton="0" quotePrefix="0" xfId="0">
      <alignment horizontal="right" vertical="center"/>
    </xf>
    <xf numFmtId="0" fontId="0" fillId="2" borderId="22" pivotButton="0" quotePrefix="0" xfId="0"/>
    <xf numFmtId="0" fontId="0" fillId="0" borderId="22" pivotButton="0" quotePrefix="0" xfId="0"/>
    <xf numFmtId="0" fontId="0" fillId="7" borderId="22" pivotButton="0" quotePrefix="0" xfId="0"/>
    <xf numFmtId="0" fontId="0" fillId="5" borderId="22" pivotButton="0" quotePrefix="0" xfId="0"/>
    <xf numFmtId="0" fontId="0" fillId="2" borderId="8" pivotButton="0" quotePrefix="0" xfId="0"/>
    <xf numFmtId="0" fontId="14" fillId="0" borderId="0" applyAlignment="1" pivotButton="0" quotePrefix="0" xfId="0">
      <alignment vertical="center"/>
    </xf>
    <xf numFmtId="0" fontId="0" fillId="7" borderId="8" pivotButton="0" quotePrefix="0" xfId="0"/>
    <xf numFmtId="0" fontId="0" fillId="5" borderId="8" pivotButton="0" quotePrefix="0" xfId="0"/>
    <xf numFmtId="0" fontId="0" fillId="8" borderId="22" pivotButton="0" quotePrefix="0" xfId="0"/>
    <xf numFmtId="0" fontId="0" fillId="8" borderId="8" pivotButton="0" quotePrefix="0" xfId="0"/>
    <xf numFmtId="0" fontId="5" fillId="3" borderId="3" applyAlignment="1" pivotButton="0" quotePrefix="0" xfId="0">
      <alignment horizontal="center" vertical="center"/>
    </xf>
    <xf numFmtId="0" fontId="6" fillId="0" borderId="8" applyAlignment="1" pivotButton="0" quotePrefix="0" xfId="0">
      <alignment vertical="center" wrapText="1"/>
    </xf>
    <xf numFmtId="3" fontId="7" fillId="9" borderId="23" applyAlignment="1" pivotButton="0" quotePrefix="0" xfId="0">
      <alignment horizontal="center" vertical="center"/>
    </xf>
    <xf numFmtId="0" fontId="16" fillId="0" borderId="8" applyAlignment="1" pivotButton="0" quotePrefix="0" xfId="0">
      <alignment vertical="center" wrapText="1"/>
    </xf>
    <xf numFmtId="2" fontId="7" fillId="9" borderId="23" applyAlignment="1" pivotButton="0" quotePrefix="0" xfId="0">
      <alignment horizontal="center" vertical="center"/>
    </xf>
    <xf numFmtId="0" fontId="7" fillId="9" borderId="23" applyAlignment="1" pivotButton="0" quotePrefix="0" xfId="0">
      <alignment horizontal="center" vertical="center"/>
    </xf>
    <xf numFmtId="0" fontId="7" fillId="0" borderId="8" applyAlignment="1" pivotButton="0" quotePrefix="0" xfId="0">
      <alignment vertical="center" wrapText="1"/>
    </xf>
    <xf numFmtId="3" fontId="6" fillId="0" borderId="8" applyAlignment="1" pivotButton="0" quotePrefix="0" xfId="0">
      <alignment horizontal="center" vertical="center" wrapText="1"/>
    </xf>
    <xf numFmtId="0" fontId="7" fillId="0" borderId="8" applyAlignment="1" pivotButton="0" quotePrefix="0" xfId="0">
      <alignment horizontal="center" vertical="center" wrapText="1"/>
    </xf>
    <xf numFmtId="0" fontId="2" fillId="0" borderId="8" applyAlignment="1" pivotButton="0" quotePrefix="0" xfId="0">
      <alignment vertical="center"/>
    </xf>
    <xf numFmtId="0" fontId="4" fillId="10" borderId="3" applyAlignment="1" pivotButton="0" quotePrefix="0" xfId="0">
      <alignment horizontal="center" vertical="center"/>
    </xf>
    <xf numFmtId="0" fontId="17" fillId="0" borderId="23" applyAlignment="1" pivotButton="0" quotePrefix="0" xfId="0">
      <alignment horizontal="center" vertical="center"/>
    </xf>
    <xf numFmtId="0" fontId="0" fillId="0" borderId="26" pivotButton="0" quotePrefix="0" xfId="0"/>
    <xf numFmtId="0" fontId="0" fillId="0" borderId="27" pivotButton="0" quotePrefix="0" xfId="0"/>
    <xf numFmtId="0" fontId="18" fillId="0" borderId="8" applyAlignment="1" pivotButton="0" quotePrefix="0" xfId="0">
      <alignment horizontal="left" vertical="top" wrapText="1"/>
    </xf>
    <xf numFmtId="0" fontId="18" fillId="4" borderId="8" applyAlignment="1" pivotButton="0" quotePrefix="0" xfId="0">
      <alignment horizontal="left" vertical="top" wrapText="1"/>
    </xf>
  </cellXfs>
  <cellStyles count="1">
    <cellStyle name="Normal" xfId="0" builtinId="0" hidden="0"/>
  </cellStyles>
  <dxfs count="1">
    <dxf>
      <font>
        <name val="Meiryo UI"/>
        <b val="1"/>
        <color rgb="FFFFFFFF"/>
      </font>
      <fill>
        <patternFill patternType="solid">
          <fgColor rgb="FF000000"/>
          <bgColor rgb="FF0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23567;&#23398;&#29983;&#21521;&#12369;'!A1" TargetMode="External" Id="rId1"/><Relationship Type="http://schemas.openxmlformats.org/officeDocument/2006/relationships/hyperlink" Target="#'02_&#27083;&#25104;&#12392;&#32076;&#36335;'!A1" TargetMode="External" Id="rId2"/><Relationship Type="http://schemas.openxmlformats.org/officeDocument/2006/relationships/hyperlink" Target="#'03_&#27508;&#21490;&#12392;&#32972;&#26223;'!A1" TargetMode="External" Id="rId3"/><Relationship Type="http://schemas.openxmlformats.org/officeDocument/2006/relationships/hyperlink" Target="#'04_&#21205;&#20316;&#21407;&#29702;'!A1" TargetMode="External" Id="rId4"/><Relationship Type="http://schemas.openxmlformats.org/officeDocument/2006/relationships/hyperlink" Target="#'05_&#12497;&#12521;&#12513;&#12540;&#12479;&#36766;&#20856;'!A1" TargetMode="External" Id="rId5"/><Relationship Type="http://schemas.openxmlformats.org/officeDocument/2006/relationships/hyperlink" Target="#'06_&#25512;&#22888;&#20516;_P2'!A1" TargetMode="External" Id="rId6"/><Relationship Type="http://schemas.openxmlformats.org/officeDocument/2006/relationships/hyperlink" Target="#'07_&#25512;&#22888;&#20516;_&#20840;&#12497;&#12479;&#12540;&#12531;'!A1" TargetMode="External" Id="rId7"/><Relationship Type="http://schemas.openxmlformats.org/officeDocument/2006/relationships/hyperlink" Target="#'08_&#12497;&#12479;&#12540;&#12531;&#27604;&#36611;'!A1" TargetMode="External" Id="rId8"/><Relationship Type="http://schemas.openxmlformats.org/officeDocument/2006/relationships/hyperlink" Target="#'09_&#21205;&#20316;&#12452;&#12513;&#12540;&#12472;'!A1" TargetMode="External" Id="rId9"/><Relationship Type="http://schemas.openxmlformats.org/officeDocument/2006/relationships/hyperlink" Target="#'10_&#38556;&#23475;&#12471;&#12490;&#12522;&#12458;'!A1" TargetMode="External" Id="rId10"/><Relationship Type="http://schemas.openxmlformats.org/officeDocument/2006/relationships/hyperlink" Target="#'11_&#35336;&#31639;&#12471;&#12540;&#12488;'!A1" TargetMode="External" Id="rId11"/><Relationship Type="http://schemas.openxmlformats.org/officeDocument/2006/relationships/hyperlink" Target="#'12_&#35373;&#23450;&#20363;'!A1" TargetMode="External" Id="rId12"/><Relationship Type="http://schemas.openxmlformats.org/officeDocument/2006/relationships/hyperlink" Target="#'13_&#30435;&#35222;&#12392;&#12481;&#12517;&#12540;&#12491;&#12531;&#12464;'!A1" TargetMode="External" Id="rId13"/><Relationship Type="http://schemas.openxmlformats.org/officeDocument/2006/relationships/hyperlink" Target="#'14_&#12481;&#12455;&#12483;&#12463;&#12522;&#12473;&#12488;'!A1" TargetMode="External" Id="rId14"/><Relationship Type="http://schemas.openxmlformats.org/officeDocument/2006/relationships/hyperlink" Target="#'15_&#29992;&#35486;&#38598;'!A1" TargetMode="External" Id="rId15"/><Relationship Type="http://schemas.openxmlformats.org/officeDocument/2006/relationships/hyperlink" Target="#'16_&#21442;&#32771;&#36039;&#26009;'!A1" TargetMode="External" Id="rId16"/></Relationships>
</file>

<file path=xl/worksheets/_rels/sheet2.xml.rels><Relationships xmlns="http://schemas.openxmlformats.org/package/2006/relationships"><Relationship Type="http://schemas.openxmlformats.org/officeDocument/2006/relationships/hyperlink" Target="#'00_&#34920;&#32025;'!A1" TargetMode="External" Id="rId1"/></Relationships>
</file>

<file path=xl/worksheets/_rels/sheet3.xml.rels><Relationships xmlns="http://schemas.openxmlformats.org/package/2006/relationships"><Relationship Type="http://schemas.openxmlformats.org/officeDocument/2006/relationships/hyperlink" Target="#'00_&#34920;&#32025;'!A1" TargetMode="External" Id="rId1"/></Relationships>
</file>

<file path=xl/worksheets/_rels/sheet4.xml.rels><Relationships xmlns="http://schemas.openxmlformats.org/package/2006/relationships"><Relationship Type="http://schemas.openxmlformats.org/officeDocument/2006/relationships/hyperlink" Target="#'00_&#34920;&#32025;'!A1" TargetMode="External" Id="rId1"/></Relationships>
</file>

<file path=xl/worksheets/_rels/sheet5.xml.rels><Relationships xmlns="http://schemas.openxmlformats.org/package/2006/relationships"><Relationship Type="http://schemas.openxmlformats.org/officeDocument/2006/relationships/hyperlink" Target="#'00_&#34920;&#32025;'!A1" TargetMode="External" Id="rId1"/></Relationships>
</file>

<file path=xl/worksheets/_rels/sheet6.xml.rels><Relationships xmlns="http://schemas.openxmlformats.org/package/2006/relationships"><Relationship Type="http://schemas.openxmlformats.org/officeDocument/2006/relationships/hyperlink" Target="#'00_&#34920;&#32025;'!A1" TargetMode="External" Id="rId1"/></Relationships>
</file>

<file path=xl/worksheets/_rels/sheet7.xml.rels><Relationships xmlns="http://schemas.openxmlformats.org/package/2006/relationships"><Relationship Type="http://schemas.openxmlformats.org/officeDocument/2006/relationships/hyperlink" Target="#'00_&#34920;&#32025;'!A1" TargetMode="External" Id="rId1"/></Relationships>
</file>

<file path=xl/worksheets/_rels/sheet8.xml.rels><Relationships xmlns="http://schemas.openxmlformats.org/package/2006/relationships"><Relationship Type="http://schemas.openxmlformats.org/officeDocument/2006/relationships/hyperlink" Target="#'00_&#34920;&#32025;'!A1" TargetMode="External" Id="rId1"/></Relationships>
</file>

<file path=xl/worksheets/_rels/sheet9.xml.rels><Relationships xmlns="http://schemas.openxmlformats.org/package/2006/relationships"><Relationship Type="http://schemas.openxmlformats.org/officeDocument/2006/relationships/hyperlink" Target="#'00_&#34920;&#32025;'!A1" TargetMode="External" Id="rId1"/></Relationships>
</file>

<file path=xl/worksheets/_rels/sheet10.xml.rels><Relationships xmlns="http://schemas.openxmlformats.org/package/2006/relationships"><Relationship Type="http://schemas.openxmlformats.org/officeDocument/2006/relationships/hyperlink" Target="#'00_&#34920;&#32025;'!A1" TargetMode="External" Id="rId1"/></Relationships>
</file>

<file path=xl/worksheets/_rels/sheet11.xml.rels><Relationships xmlns="http://schemas.openxmlformats.org/package/2006/relationships"><Relationship Type="http://schemas.openxmlformats.org/officeDocument/2006/relationships/hyperlink" Target="#'00_&#34920;&#32025;'!A1" TargetMode="External" Id="rId1"/></Relationships>
</file>

<file path=xl/worksheets/_rels/sheet12.xml.rels><Relationships xmlns="http://schemas.openxmlformats.org/package/2006/relationships"><Relationship Type="http://schemas.openxmlformats.org/officeDocument/2006/relationships/hyperlink" Target="#'00_&#34920;&#32025;'!A1" TargetMode="External" Id="rId1"/></Relationships>
</file>

<file path=xl/worksheets/_rels/sheet13.xml.rels><Relationships xmlns="http://schemas.openxmlformats.org/package/2006/relationships"><Relationship Type="http://schemas.openxmlformats.org/officeDocument/2006/relationships/hyperlink" Target="#'00_&#34920;&#32025;'!A1" TargetMode="External" Id="rId1"/></Relationships>
</file>

<file path=xl/worksheets/_rels/sheet14.xml.rels><Relationships xmlns="http://schemas.openxmlformats.org/package/2006/relationships"><Relationship Type="http://schemas.openxmlformats.org/officeDocument/2006/relationships/hyperlink" Target="#'00_&#34920;&#32025;'!A1" TargetMode="External" Id="rId1"/></Relationships>
</file>

<file path=xl/worksheets/_rels/sheet15.xml.rels><Relationships xmlns="http://schemas.openxmlformats.org/package/2006/relationships"><Relationship Type="http://schemas.openxmlformats.org/officeDocument/2006/relationships/hyperlink" Target="#'00_&#34920;&#32025;'!A1" TargetMode="External" Id="rId1"/></Relationships>
</file>

<file path=xl/worksheets/_rels/sheet16.xml.rels><Relationships xmlns="http://schemas.openxmlformats.org/package/2006/relationships"><Relationship Type="http://schemas.openxmlformats.org/officeDocument/2006/relationships/hyperlink" Target="#'00_&#34920;&#32025;'!A1" TargetMode="External" Id="rId1"/></Relationships>
</file>

<file path=xl/worksheets/_rels/sheet17.xml.rels><Relationships xmlns="http://schemas.openxmlformats.org/package/2006/relationships"><Relationship Type="http://schemas.openxmlformats.org/officeDocument/2006/relationships/hyperlink" Target="#'00_&#34920;&#32025;'!A1" TargetMode="External" Id="rId1"/><Relationship Type="http://schemas.openxmlformats.org/officeDocument/2006/relationships/hyperlink" Target="https://aws.amazon.com/blogs/compute/build-scalable-rest-apis-using-amazon-api-gateway-private-integration-with-application-load-balancer/" TargetMode="External" Id="rId2"/><Relationship Type="http://schemas.openxmlformats.org/officeDocument/2006/relationships/hyperlink" Target="https://docs.aws.amazon.com/apigateway/latest/developerguide/private-integration.html" TargetMode="External" Id="rId3"/><Relationship Type="http://schemas.openxmlformats.org/officeDocument/2006/relationships/hyperlink" Target="https://docs.aws.amazon.com/apigateway/latest/developerguide/api-gateway-execution-service-limits-table.html" TargetMode="External" Id="rId4"/><Relationship Type="http://schemas.openxmlformats.org/officeDocument/2006/relationships/hyperlink" Target="https://aws.amazon.com/about-aws/whats-new/2024/06/amazon-api-gateway-integration-timeout-limit-29-seconds/" TargetMode="External" Id="rId5"/><Relationship Type="http://schemas.openxmlformats.org/officeDocument/2006/relationships/hyperlink" Target="https://aws.amazon.com/about-aws/whats-new/2025/11/api-gateway-response-streaming-rest-apis/" TargetMode="External" Id="rId6"/><Relationship Type="http://schemas.openxmlformats.org/officeDocument/2006/relationships/hyperlink" Target="https://repost.aws/knowledge-center/api-gateway-timeout-limit" TargetMode="External" Id="rId7"/><Relationship Type="http://schemas.openxmlformats.org/officeDocument/2006/relationships/hyperlink" Target="https://docs.aws.amazon.com/elasticloadbalancing/latest/application/edit-load-balancer-attributes.html" TargetMode="External" Id="rId8"/><Relationship Type="http://schemas.openxmlformats.org/officeDocument/2006/relationships/hyperlink" Target="https://docs.aws.amazon.com/elasticloadbalancing/latest/application/edit-target-group-attributes.html" TargetMode="External" Id="rId9"/><Relationship Type="http://schemas.openxmlformats.org/officeDocument/2006/relationships/hyperlink" Target="https://docs.aws.amazon.com/AmazonRDS/latest/AuroraUserGuide/rds-proxy-connections.html" TargetMode="External" Id="rId10"/><Relationship Type="http://schemas.openxmlformats.org/officeDocument/2006/relationships/hyperlink" Target="https://docs.aws.amazon.com/AmazonRDS/latest/AuroraUserGuide/rds-proxy-pinning.html" TargetMode="External" Id="rId11"/><Relationship Type="http://schemas.openxmlformats.org/officeDocument/2006/relationships/hyperlink" Target="https://docs.aws.amazon.com/AmazonRDS/latest/AuroraUserGuide/rds-proxy.html" TargetMode="External" Id="rId12"/><Relationship Type="http://schemas.openxmlformats.org/officeDocument/2006/relationships/hyperlink" Target="https://docs.aws.amazon.com/AmazonRDS/latest/AuroraUserGuide/rds-proxy-creating.html" TargetMode="External" Id="rId13"/><Relationship Type="http://schemas.openxmlformats.org/officeDocument/2006/relationships/hyperlink" Target="https://docs.aws.amazon.com/AmazonRDS/latest/APIReference/API_ConnectionPoolConfiguration.html" TargetMode="External" Id="rId14"/><Relationship Type="http://schemas.openxmlformats.org/officeDocument/2006/relationships/hyperlink" Target="https://aws.amazon.com/blogs/database/improving-application-availability-with-amazon-rds-proxy/" TargetMode="External" Id="rId15"/><Relationship Type="http://schemas.openxmlformats.org/officeDocument/2006/relationships/hyperlink" Target="https://docs.aws.amazon.com/AmazonRDS/latest/AuroraUserGuide/aurora-serverless-v2-auto-pause.html" TargetMode="External" Id="rId16"/><Relationship Type="http://schemas.openxmlformats.org/officeDocument/2006/relationships/hyperlink" Target="https://docs.aws.amazon.com/AmazonRDS/latest/AuroraUserGuide/AuroraMySQL.BestPractices.FeatureRecommendations.html" TargetMode="External" Id="rId17"/><Relationship Type="http://schemas.openxmlformats.org/officeDocument/2006/relationships/hyperlink" Target="https://developer.salesforce.com/docs/atlas.en-us.apexcode.meta/apexcode/apex_callouts_timeouts.htm" TargetMode="External" Id="rId18"/><Relationship Type="http://schemas.openxmlformats.org/officeDocument/2006/relationships/hyperlink" Target="https://docs.redhat.com/en/documentation/red_hat_jboss_enterprise_application_platform/8.1" TargetMode="External" Id="rId19"/><Relationship Type="http://schemas.openxmlformats.org/officeDocument/2006/relationships/hyperlink" Target="https://access.redhat.com/articles/7039745" TargetMode="External" Id="rId20"/><Relationship Type="http://schemas.openxmlformats.org/officeDocument/2006/relationships/hyperlink" Target="https://docs.redhat.com/en/documentation/red_hat_jboss_enterprise_application_platform/8.0/html/performance_tuning_for_red_hat_jboss_enterprise_application_platform/assembly-undertow-tuning_performance-tuning-guide" TargetMode="External" Id="rId21"/><Relationship Type="http://schemas.openxmlformats.org/officeDocument/2006/relationships/hyperlink" Target="https://docs.redhat.com/en/documentation/red_hat_jboss_enterprise_application_platform/8.0/html/configuration_guide/datasource_management" TargetMode="External" Id="rId22"/><Relationship Type="http://schemas.openxmlformats.org/officeDocument/2006/relationships/hyperlink" Target="https://docs.wildfly.org/37/wildscribe/subsystem/undertow/server/http-listener/index.html" TargetMode="External" Id="rId23"/><Relationship Type="http://schemas.openxmlformats.org/officeDocument/2006/relationships/hyperlink" Target="https://docs.wildfly.org/37/wildscribe/subsystem/transactions/index.html" TargetMode="External" Id="rId24"/><Relationship Type="http://schemas.openxmlformats.org/officeDocument/2006/relationships/hyperlink" Target="https://docs.wildfly.org/37/wildscribe/subsystem/datasources/xa-data-source/index.html" TargetMode="External" Id="rId25"/><Relationship Type="http://schemas.openxmlformats.org/officeDocument/2006/relationships/hyperlink" Target="https://dev.mysql.com/doc/refman/8.0/en/server-system-variables.html" TargetMode="External" Id="rId26"/><Relationship Type="http://schemas.openxmlformats.org/officeDocument/2006/relationships/hyperlink" Target="https://dev.mysql.com/doc/refman/8.0/en/innodb-parameters.html" TargetMode="External" Id="rId27"/><Relationship Type="http://schemas.openxmlformats.org/officeDocument/2006/relationships/hyperlink" Target="https://dev.mysql.com/doc/connector-j/en/connector-j-reference-configuration-properties.html" TargetMode="External" Id="rId28"/><Relationship Type="http://schemas.openxmlformats.org/officeDocument/2006/relationships/hyperlink" Target="https://docs.aws.amazon.com/AmazonECS/latest/developerguide/task_definition_parameters.html" TargetMode="External" Id="rId29"/><Relationship Type="http://schemas.openxmlformats.org/officeDocument/2006/relationships/hyperlink" Target="https://aws.amazon.com/blogs/architecture/exponential-backoff-and-jitter/" TargetMode="External" Id="rId30"/><Relationship Type="http://schemas.openxmlformats.org/officeDocument/2006/relationships/hyperlink" Target="https://www.rfc-editor.org/rfc/rfc1122" TargetMode="External" Id="rId31"/></Relationships>
</file>

<file path=xl/worksheets/sheet1.xml><?xml version="1.0" encoding="utf-8"?>
<worksheet xmlns="http://schemas.openxmlformats.org/spreadsheetml/2006/main">
  <sheetPr>
    <tabColor rgb="00000000"/>
    <outlinePr summaryBelow="1" summaryRight="1"/>
    <pageSetUpPr fitToPage="1"/>
  </sheetPr>
  <dimension ref="A1:E51"/>
  <sheetViews>
    <sheetView showGridLines="0" zoomScale="100" workbookViewId="0">
      <selection activeCell="A1" sqref="A1"/>
    </sheetView>
  </sheetViews>
  <sheetFormatPr baseColWidth="8" defaultRowHeight="15"/>
  <cols>
    <col width="2" customWidth="1" min="1" max="1"/>
    <col width="24" customWidth="1" min="2" max="2"/>
    <col width="44" customWidth="1" min="3" max="3"/>
    <col width="50" customWidth="1" min="4" max="4"/>
    <col width="26" customWidth="1" min="5" max="5"/>
  </cols>
  <sheetData>
    <row r="1" ht="36" customHeight="1">
      <c r="B1" s="1" t="inlineStr">
        <is>
          <t>Aurora Serverless v2 共有構成のタイムアウト設計ガイド</t>
        </is>
      </c>
      <c r="C1" s="2" t="n"/>
      <c r="D1" s="2" t="n"/>
      <c r="E1" s="2" t="n"/>
    </row>
    <row r="2" ht="18" customHeight="1">
      <c r="B2" s="3" t="inlineStr">
        <is>
          <t>作成日 2026-10-17　｜　対象：API Gateway（REST）／VPC Link v2／ALB／ECS（JBoss EAP 8.1・JTA）／RDS Proxy／Aurora Serverless v2 MySQL</t>
        </is>
      </c>
    </row>
    <row r="3" ht="6" customHeight="1"/>
    <row r="4" ht="36" customHeight="1">
      <c r="B4" s="4" t="inlineStr">
        <is>
          <t>インターネットAPI／Salesforce API／イントラAPI／イントラ画面／バッチの5つの経路が、同じ RDS Proxy と Aurora Serverless v2 MySQL（2DB）を共有するときに、各タイムアウト値をどう決めればよいかを、動作原理・歴史・推奨値（複数パターン）・設定例までまとめた資料です。</t>
        </is>
      </c>
    </row>
    <row r="5" ht="10" customHeight="1"/>
    <row r="6" ht="24" customHeight="1">
      <c r="B6" s="5" t="inlineStr">
        <is>
          <t xml:space="preserve">　この資料の前提</t>
        </is>
      </c>
    </row>
    <row r="7" ht="4" customHeight="1"/>
    <row r="8" ht="23" customHeight="1">
      <c r="B8" s="6" t="inlineStr">
        <is>
          <t>項目</t>
        </is>
      </c>
      <c r="C8" s="6" t="inlineStr">
        <is>
          <t>内容</t>
        </is>
      </c>
      <c r="D8" s="7" t="n"/>
      <c r="E8" s="8" t="n"/>
    </row>
    <row r="9" ht="22" customHeight="1">
      <c r="B9" s="9" t="inlineStr">
        <is>
          <t>作成日</t>
        </is>
      </c>
      <c r="C9" s="9" t="inlineStr">
        <is>
          <t>2026-10-17（2026年10月時点の公開ドキュメントをもとに作成）</t>
        </is>
      </c>
      <c r="D9" s="10" t="n"/>
      <c r="E9" s="11" t="n"/>
    </row>
    <row r="10" ht="97" customHeight="1">
      <c r="B10" s="12" t="inlineStr">
        <is>
          <t>対象構成</t>
        </is>
      </c>
      <c r="C10" s="12" t="inlineStr">
        <is>
          <t>インターネットAPI：API Gateway（REST）→ VPC Link v2 → ALB → ECSタスク（JBoss EAP 8.1／JTA）→ RDS Proxy → Aurora Serverless v2 MySQL（2DB）
Salesforce API：同上（API Gateway 経由）
イントラAPI：ALB → ECSタスク → RDS Proxy → Aurora（API Gateway なし）
イントラ画面：ALB → ECSタスク → RDS Proxy → Aurora（API Gateway なし）
バッチ：バッチサーバ → RDS Proxy → Aurora（直接）</t>
        </is>
      </c>
      <c r="D10" s="10" t="n"/>
      <c r="E10" s="11" t="n"/>
    </row>
    <row r="11" ht="22" customHeight="1">
      <c r="B11" s="9" t="inlineStr">
        <is>
          <t>負荷の前提</t>
        </is>
      </c>
      <c r="C11" s="9" t="inlineStr">
        <is>
          <t>最も負荷が高く処理時間が長いのは「イントラAPI」。バッチはオンライン時間帯にも動く可能性がある。</t>
        </is>
      </c>
      <c r="D11" s="10" t="n"/>
      <c r="E11" s="11" t="n"/>
    </row>
    <row r="12" ht="37" customHeight="1">
      <c r="B12" s="12" t="inlineStr">
        <is>
          <t>2DBの前提</t>
        </is>
      </c>
      <c r="C12" s="12" t="inlineStr">
        <is>
          <t>2つのDBはそれぞれ別の Aurora クラスタ（クラスタごとに RDS Proxy）と想定。同じクラスタ内の2スキーマの場合は「Proxyは1つ」と読み替える。2DBを1つのトランザクションで更新する場合は JTA＋XA（2相コミット）。</t>
        </is>
      </c>
      <c r="D12" s="10" t="n"/>
      <c r="E12" s="11" t="n"/>
    </row>
    <row r="13" ht="37" customHeight="1">
      <c r="B13" s="9" t="inlineStr">
        <is>
          <t>数値の扱い</t>
        </is>
      </c>
      <c r="C13" s="9" t="inlineStr">
        <is>
          <t>既定値・上限値は公式ドキュメントで確認したもの（16_参考資料）。推奨値は設計上の目安であり、実測（P99応答時間）と試験で必ず調整すること。【要検証】と書いた項目は、公式記載がない・環境依存のため PoC で確認が必要なもの。</t>
        </is>
      </c>
      <c r="D13" s="10" t="n"/>
      <c r="E13" s="11" t="n"/>
    </row>
    <row r="14" ht="10" customHeight="1"/>
    <row r="15" ht="24" customHeight="1">
      <c r="B15" s="5" t="inlineStr">
        <is>
          <t xml:space="preserve">　結論（まずここだけ読めばよい3つの原則）</t>
        </is>
      </c>
    </row>
    <row r="16" ht="4" customHeight="1"/>
    <row r="17" ht="23" customHeight="1">
      <c r="B17" s="6" t="inlineStr">
        <is>
          <t>原則</t>
        </is>
      </c>
      <c r="C17" s="6" t="inlineStr">
        <is>
          <t>内容</t>
        </is>
      </c>
      <c r="D17" s="6" t="inlineStr">
        <is>
          <t>具体例</t>
        </is>
      </c>
      <c r="E17" s="8" t="n"/>
    </row>
    <row r="18" ht="67" customHeight="1">
      <c r="B18" s="13" t="inlineStr">
        <is>
          <t>① 外側ほど長く、内側ほど短く</t>
        </is>
      </c>
      <c r="C18" s="9" t="inlineStr">
        <is>
          <t>リクエストの通り道では、内側（DBに近い側）のタイマーが先に鳴るようにする。内側が後片付け（ロールバック・接続返却）をしてから、理由つきのエラーを外側に返せる。</t>
        </is>
      </c>
      <c r="D18" s="9" t="inlineStr">
        <is>
          <t>呼出元 40秒 ＞ API Gateway 29秒 ＞ アプリ期限（JTA）25秒 ＞ SQL上限 20秒 ＞ ロック待ち 10秒</t>
        </is>
      </c>
      <c r="E18" s="11" t="n"/>
    </row>
    <row r="19" ht="67" customHeight="1">
      <c r="B19" s="14" t="inlineStr">
        <is>
          <t>② つなぎっぱなしの線は、使う側が先に切る</t>
        </is>
      </c>
      <c r="C19" s="12" t="inlineStr">
        <is>
          <t>keep-alive やコネクションプールの「アイドル（無通信）」タイマーは、接続を使う側（クライアント側）を短く、待つ側（サーバ側）を長くする。逆だと切れた線にリクエストを送ってしまう。</t>
        </is>
      </c>
      <c r="D19" s="12" t="inlineStr">
        <is>
          <t>ALB idle 60秒 ＜ Undertow no-request-timeout 75秒／JBossプール idle 10分 ＜ RDS Proxy IdleClientTimeout 30分 ＜ Aurora wait_timeout 8時間／接続寿命 ＜ 24時間</t>
        </is>
      </c>
      <c r="E19" s="11" t="n"/>
    </row>
    <row r="20" ht="67" customHeight="1">
      <c r="B20" s="13" t="inlineStr">
        <is>
          <t>③ 共有部品の値は1つしか持てない</t>
        </is>
      </c>
      <c r="C20" s="9" t="inlineStr">
        <is>
          <t>ALB（LB単位）、RDS Proxy（Proxy単位）、Aurora（クラスタ単位）は経路ごとに値を変えられない。部品を分けるか、リクエスト単位の仕組みで調整する。</t>
        </is>
      </c>
      <c r="D20" s="9" t="inlineStr">
        <is>
          <t>ALBを外部API用とイントラ用に分ける／RDS Proxyをオンライン用とバッチ用に分ける／@TransactionTimeout・set-tx-query-timeout・SQLヒントで経路別に</t>
        </is>
      </c>
      <c r="E20" s="11" t="n"/>
    </row>
    <row r="21" ht="4" customHeight="1"/>
    <row r="22" ht="42" customHeight="1">
      <c r="B22" s="15" t="inlineStr">
        <is>
          <r>
            <rPr>
              <rFont val="Meiryo UI"/>
              <b val="1"/>
              <sz val="10"/>
            </rPr>
            <t xml:space="preserve">【推奨】 </t>
          </r>
          <r>
            <rPr>
              <rFont val="Meiryo UI"/>
              <sz val="10"/>
            </rPr>
            <t>本件の推奨は「P2 経路分離型」（06_推奨値_P2）。外部API用ALBとイントラ用ALBを分け、ECSサービスを外部API／イントラAPI／画面に分け、RDS Proxy をオンライン用とバッチ用に分ける。2分を超える処理は「P4 非同期型」へ逃がす。</t>
          </r>
        </is>
      </c>
      <c r="C22" s="16" t="n"/>
      <c r="D22" s="16" t="n"/>
      <c r="E22" s="17" t="n"/>
    </row>
    <row r="23" ht="10" customHeight="1"/>
    <row r="24" ht="24" customHeight="1">
      <c r="B24" s="5" t="inlineStr">
        <is>
          <t xml:space="preserve">　シート一覧（クリックで移動）</t>
        </is>
      </c>
    </row>
    <row r="25" ht="4" customHeight="1"/>
    <row r="26" ht="23" customHeight="1">
      <c r="B26" s="6" t="inlineStr">
        <is>
          <t>シート</t>
        </is>
      </c>
      <c r="C26" s="6" t="inlineStr">
        <is>
          <t>内容</t>
        </is>
      </c>
      <c r="D26" s="6" t="inlineStr">
        <is>
          <t>こんなときに読む</t>
        </is>
      </c>
      <c r="E26" s="8" t="n"/>
    </row>
    <row r="27" ht="22" customHeight="1">
      <c r="B27" s="18" t="inlineStr">
        <is>
          <t>01_小学生向け</t>
        </is>
      </c>
      <c r="C27" s="9" t="inlineStr">
        <is>
          <t>レストランのたとえ話で全体像と3つの原則をつかむ</t>
        </is>
      </c>
      <c r="D27" s="9" t="inlineStr">
        <is>
          <t>初めて読むとき、関係者に説明するとき</t>
        </is>
      </c>
      <c r="E27" s="11" t="n"/>
    </row>
    <row r="28" ht="37" customHeight="1">
      <c r="B28" s="19" t="inlineStr">
        <is>
          <t>02_構成と経路</t>
        </is>
      </c>
      <c r="C28" s="12" t="inlineStr">
        <is>
          <t>5経路が通る部品、共有部品の「1つしか持てない設定」、2DB（XA）の注意</t>
        </is>
      </c>
      <c r="D28" s="12" t="inlineStr">
        <is>
          <t>構成の前提を確認するとき</t>
        </is>
      </c>
      <c r="E28" s="11" t="n"/>
    </row>
    <row r="29" ht="37" customHeight="1">
      <c r="B29" s="18" t="inlineStr">
        <is>
          <t>03_歴史と背景</t>
        </is>
      </c>
      <c r="C29" s="9" t="inlineStr">
        <is>
          <t>TCPから2025年のVPC Link v2まで。各タイムアウトが生まれた理由</t>
        </is>
      </c>
      <c r="D29" s="9" t="inlineStr">
        <is>
          <t>なぜその設定が必要かを知りたいとき</t>
        </is>
      </c>
      <c r="E29" s="11" t="n"/>
    </row>
    <row r="30" ht="37" customHeight="1">
      <c r="B30" s="19" t="inlineStr">
        <is>
          <t>04_動作原理</t>
        </is>
      </c>
      <c r="C30" s="12" t="inlineStr">
        <is>
          <t>時計の動き方、3原則の深掘り、リトルの法則、RDS Proxy・JTAの内部動作、返るエラー</t>
        </is>
      </c>
      <c r="D30" s="12" t="inlineStr">
        <is>
          <t>値の大小関係の根拠を知りたいとき</t>
        </is>
      </c>
      <c r="E30" s="11" t="n"/>
    </row>
    <row r="31" ht="37" customHeight="1">
      <c r="B31" s="18" t="inlineStr">
        <is>
          <t>05_パラメータ辞典</t>
        </is>
      </c>
      <c r="C31" s="9" t="inlineStr">
        <is>
          <t>全パラメータの既定値・範囲・適用単位・超えたときの動作</t>
        </is>
      </c>
      <c r="D31" s="9" t="inlineStr">
        <is>
          <t>個別の設定値を調べるとき</t>
        </is>
      </c>
      <c r="E31" s="11" t="n"/>
    </row>
    <row r="32" ht="37" customHeight="1">
      <c r="B32" s="19" t="inlineStr">
        <is>
          <t>06_推奨値_P2</t>
        </is>
      </c>
      <c r="C32" s="12" t="inlineStr">
        <is>
          <t>本件のおすすめ設定（経路分離型）の推奨値マトリクス</t>
        </is>
      </c>
      <c r="D32" s="12" t="inlineStr">
        <is>
          <t>まず設定値を決めたいとき</t>
        </is>
      </c>
      <c r="E32" s="11" t="n"/>
    </row>
    <row r="33" ht="22" customHeight="1">
      <c r="B33" s="18" t="inlineStr">
        <is>
          <t>07_推奨値_全パターン</t>
        </is>
      </c>
      <c r="C33" s="9" t="inlineStr">
        <is>
          <t>P0（既定値）〜P5（バッチ直結）の推奨値マトリクス</t>
        </is>
      </c>
      <c r="D33" s="9" t="inlineStr">
        <is>
          <t>別の構成案と比べたいとき</t>
        </is>
      </c>
      <c r="E33" s="11" t="n"/>
    </row>
    <row r="34" ht="22" customHeight="1">
      <c r="B34" s="19" t="inlineStr">
        <is>
          <t>08_パターン比較</t>
        </is>
      </c>
      <c r="C34" s="12" t="inlineStr">
        <is>
          <t>6パターンの長所・短所と、選び方の質問表</t>
        </is>
      </c>
      <c r="D34" s="12" t="inlineStr">
        <is>
          <t>どのパターンにするか決めるとき</t>
        </is>
      </c>
      <c r="E34" s="11" t="n"/>
    </row>
    <row r="35" ht="37" customHeight="1">
      <c r="B35" s="18" t="inlineStr">
        <is>
          <t>09_動作イメージ</t>
        </is>
      </c>
      <c r="C35" s="9" t="inlineStr">
        <is>
          <t>タイムアウトの梯子図と、障害時・デプロイ時の時系列</t>
        </is>
      </c>
      <c r="D35" s="9" t="inlineStr">
        <is>
          <t>動きを目で確かめたいとき</t>
        </is>
      </c>
      <c r="E35" s="11" t="n"/>
    </row>
    <row r="36" ht="22" customHeight="1">
      <c r="B36" s="19" t="inlineStr">
        <is>
          <t>10_障害シナリオ</t>
        </is>
      </c>
      <c r="C36" s="12" t="inlineStr">
        <is>
          <t>14の障害で、既定値と推奨値の挙動を比較</t>
        </is>
      </c>
      <c r="D36" s="12" t="inlineStr">
        <is>
          <t>試験項目・障害対応を考えるとき</t>
        </is>
      </c>
      <c r="E36" s="11" t="n"/>
    </row>
    <row r="37" ht="37" customHeight="1">
      <c r="B37" s="18" t="inlineStr">
        <is>
          <t>11_計算シート</t>
        </is>
      </c>
      <c r="C37" s="9" t="inlineStr">
        <is>
          <t>アプリ期限を入れると外側・内側の値と整合性チェックを自動計算</t>
        </is>
      </c>
      <c r="D37" s="9" t="inlineStr">
        <is>
          <t>自分の要件で値を出し直すとき</t>
        </is>
      </c>
      <c r="E37" s="11" t="n"/>
    </row>
    <row r="38" ht="37" customHeight="1">
      <c r="B38" s="19" t="inlineStr">
        <is>
          <t>12_設定例</t>
        </is>
      </c>
      <c r="C38" s="12" t="inlineStr">
        <is>
          <t>JBoss CLI／XML、Java、Apex、AWS CLI、ECS、バッチ、試験用SQL</t>
        </is>
      </c>
      <c r="D38" s="12" t="inlineStr">
        <is>
          <t>実際に設定するとき</t>
        </is>
      </c>
      <c r="E38" s="11" t="n"/>
    </row>
    <row r="39" ht="22" customHeight="1">
      <c r="B39" s="18" t="inlineStr">
        <is>
          <t>13_監視とチューニング</t>
        </is>
      </c>
      <c r="C39" s="9" t="inlineStr">
        <is>
          <t>見るべきメトリクスとアラーム、見直しの手順</t>
        </is>
      </c>
      <c r="D39" s="9" t="inlineStr">
        <is>
          <t>運用設計のとき</t>
        </is>
      </c>
      <c r="E39" s="11" t="n"/>
    </row>
    <row r="40" ht="22" customHeight="1">
      <c r="B40" s="19" t="inlineStr">
        <is>
          <t>14_チェックリスト</t>
        </is>
      </c>
      <c r="C40" s="12" t="inlineStr">
        <is>
          <t>設計・試験・運用の確認項目（25項目）</t>
        </is>
      </c>
      <c r="D40" s="12" t="inlineStr">
        <is>
          <t>レビュー・試験のとき</t>
        </is>
      </c>
      <c r="E40" s="11" t="n"/>
    </row>
    <row r="41" ht="22" customHeight="1">
      <c r="B41" s="18" t="inlineStr">
        <is>
          <t>15_用語集</t>
        </is>
      </c>
      <c r="C41" s="9" t="inlineStr">
        <is>
          <t>専門用語の意味と小学生向けのひとこと</t>
        </is>
      </c>
      <c r="D41" s="9" t="inlineStr">
        <is>
          <t>言葉が分からないとき</t>
        </is>
      </c>
      <c r="E41" s="11" t="n"/>
    </row>
    <row r="42" ht="22" customHeight="1">
      <c r="B42" s="19" t="inlineStr">
        <is>
          <t>16_参考資料</t>
        </is>
      </c>
      <c r="C42" s="12" t="inlineStr">
        <is>
          <t>確認に使った公式ドキュメントのURL</t>
        </is>
      </c>
      <c r="D42" s="12" t="inlineStr">
        <is>
          <t>原典を確かめるとき</t>
        </is>
      </c>
      <c r="E42" s="11" t="n"/>
    </row>
    <row r="43" ht="10" customHeight="1"/>
    <row r="44" ht="24" customHeight="1">
      <c r="B44" s="5" t="inlineStr">
        <is>
          <t xml:space="preserve">　凡例</t>
        </is>
      </c>
    </row>
    <row r="45" ht="4" customHeight="1"/>
    <row r="46" ht="23" customHeight="1">
      <c r="B46" s="6" t="inlineStr">
        <is>
          <t>表記</t>
        </is>
      </c>
      <c r="C46" s="6" t="inlineStr">
        <is>
          <t>意味</t>
        </is>
      </c>
      <c r="D46" s="7" t="n"/>
      <c r="E46" s="8" t="n"/>
    </row>
    <row r="47" ht="22" customHeight="1">
      <c r="B47" s="9" t="inlineStr">
        <is>
          <t>濃いグレーの見出し</t>
        </is>
      </c>
      <c r="C47" s="9" t="inlineStr">
        <is>
          <t>表の見出し、または章の見出し</t>
        </is>
      </c>
      <c r="D47" s="10" t="n"/>
      <c r="E47" s="11" t="n"/>
    </row>
    <row r="48" ht="37" customHeight="1">
      <c r="B48" s="12" t="inlineStr">
        <is>
          <t>薄いグレーの網掛け＋太枠（11_計算シート）</t>
        </is>
      </c>
      <c r="C48" s="12" t="inlineStr">
        <is>
          <t>入力セル。ここを書き換えると推奨値とチェック結果が再計算される</t>
        </is>
      </c>
      <c r="D48" s="10" t="n"/>
      <c r="E48" s="11" t="n"/>
    </row>
    <row r="49" ht="22" customHeight="1">
      <c r="B49" s="9" t="inlineStr">
        <is>
          <t>—</t>
        </is>
      </c>
      <c r="C49" s="9" t="inlineStr">
        <is>
          <t>その経路では該当しない（通らない部品など）</t>
        </is>
      </c>
      <c r="D49" s="10" t="n"/>
      <c r="E49" s="11" t="n"/>
    </row>
    <row r="50" ht="22" customHeight="1">
      <c r="B50" s="12" t="inlineStr">
        <is>
          <t>【要検証】</t>
        </is>
      </c>
      <c r="C50" s="12" t="inlineStr">
        <is>
          <t>公式ドキュメントに記載がない、または環境・バージョン依存。PoC（試験）で確認すること</t>
        </is>
      </c>
      <c r="D50" s="10" t="n"/>
      <c r="E50" s="11" t="n"/>
    </row>
    <row r="51" ht="22" customHeight="1">
      <c r="B51" s="9" t="inlineStr">
        <is>
          <t>P0〜P5</t>
        </is>
      </c>
      <c r="C51" s="9" t="inlineStr">
        <is>
          <t>推奨値のパターン番号（07_推奨値_全パターン、08_パターン比較）</t>
        </is>
      </c>
      <c r="D51" s="10" t="n"/>
      <c r="E51" s="11" t="n"/>
    </row>
  </sheetData>
  <mergeCells count="41">
    <mergeCell ref="D20:E20"/>
    <mergeCell ref="C50:E50"/>
    <mergeCell ref="D19:E19"/>
    <mergeCell ref="D34:E34"/>
    <mergeCell ref="C47:E47"/>
    <mergeCell ref="B6:E6"/>
    <mergeCell ref="C9:E9"/>
    <mergeCell ref="B15:E15"/>
    <mergeCell ref="B24:E24"/>
    <mergeCell ref="D40:E40"/>
    <mergeCell ref="D36:E36"/>
    <mergeCell ref="D31:E31"/>
    <mergeCell ref="C12:E12"/>
    <mergeCell ref="C51:E51"/>
    <mergeCell ref="C46:E46"/>
    <mergeCell ref="C11:E11"/>
    <mergeCell ref="B4:E4"/>
    <mergeCell ref="D27:E27"/>
    <mergeCell ref="C8:E8"/>
    <mergeCell ref="C48:E48"/>
    <mergeCell ref="D32:E32"/>
    <mergeCell ref="D41:E41"/>
    <mergeCell ref="D17:E17"/>
    <mergeCell ref="B22:E22"/>
    <mergeCell ref="C13:E13"/>
    <mergeCell ref="D37:E37"/>
    <mergeCell ref="C49:E49"/>
    <mergeCell ref="D28:E28"/>
    <mergeCell ref="B2:E2"/>
    <mergeCell ref="D18:E18"/>
    <mergeCell ref="D39:E39"/>
    <mergeCell ref="B1:E1"/>
    <mergeCell ref="D30:E30"/>
    <mergeCell ref="D42:E42"/>
    <mergeCell ref="D33:E33"/>
    <mergeCell ref="D29:E29"/>
    <mergeCell ref="B44:E44"/>
    <mergeCell ref="D38:E38"/>
    <mergeCell ref="D26:E26"/>
    <mergeCell ref="D35:E35"/>
    <mergeCell ref="C10:E10"/>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2.xml><?xml version="1.0" encoding="utf-8"?>
<worksheet xmlns="http://schemas.openxmlformats.org/spreadsheetml/2006/main">
  <sheetPr>
    <tabColor rgb="00A6A6A6"/>
    <outlinePr summaryBelow="1" summaryRight="1"/>
    <pageSetUpPr fitToPage="1"/>
  </sheetPr>
  <dimension ref="A1:D54"/>
  <sheetViews>
    <sheetView showGridLines="0" zoomScale="100" workbookViewId="0">
      <selection activeCell="A1" sqref="A1"/>
    </sheetView>
  </sheetViews>
  <sheetFormatPr baseColWidth="8" defaultRowHeight="15"/>
  <cols>
    <col width="2" customWidth="1" min="1" max="1"/>
    <col width="28" customWidth="1" min="2" max="2"/>
    <col width="36" customWidth="1" min="3" max="3"/>
    <col width="70" customWidth="1" min="4" max="4"/>
  </cols>
  <sheetData>
    <row r="1" ht="36" customHeight="1">
      <c r="B1" s="1" t="inlineStr">
        <is>
          <t>まずはイメージ：タイムアウトってなに？</t>
        </is>
      </c>
      <c r="C1" s="2" t="n"/>
      <c r="D1" s="2" t="n"/>
    </row>
    <row r="2" ht="18" customHeight="1">
      <c r="B2" s="20" t="inlineStr">
        <is>
          <t>« 00_表紙（目次）へ戻る</t>
        </is>
      </c>
      <c r="C2" s="21" t="inlineStr">
        <is>
          <t>Aurora Serverless v2 共有構成のタイムアウト設計ガイド　｜　まずはイメージ：タイムアウトってなに？</t>
        </is>
      </c>
    </row>
    <row r="3" ht="6" customHeight="1"/>
    <row r="4" ht="36" customHeight="1">
      <c r="B4" s="4" t="inlineStr">
        <is>
          <t>タイムアウトは「待つのをやめる時間」のことです。ずっと待っていると、ほかの人まで待たされてしまうので、「〇秒たったら、あきらめて『ダメでした』と伝える」という決まりをつくります。</t>
        </is>
      </c>
    </row>
    <row r="5" ht="10" customHeight="1"/>
    <row r="6" ht="24" customHeight="1">
      <c r="B6" s="5" t="inlineStr">
        <is>
          <t xml:space="preserve">　たとえ話：システムをレストランで考えよう</t>
        </is>
      </c>
    </row>
    <row r="7" ht="4" customHeight="1"/>
    <row r="8" ht="23" customHeight="1">
      <c r="B8" s="6" t="inlineStr">
        <is>
          <t>システムの部品</t>
        </is>
      </c>
      <c r="C8" s="6" t="inlineStr">
        <is>
          <t>レストランでいうと</t>
        </is>
      </c>
      <c r="D8" s="6" t="inlineStr">
        <is>
          <t>どんな仕事？</t>
        </is>
      </c>
    </row>
    <row r="9" ht="52" customHeight="1">
      <c r="B9" s="13" t="inlineStr">
        <is>
          <t>呼び出し元（ブラウザ、Salesforce、社内システム）</t>
        </is>
      </c>
      <c r="C9" s="9" t="inlineStr">
        <is>
          <t>お客さん</t>
        </is>
      </c>
      <c r="D9" s="9" t="inlineStr">
        <is>
          <t>注文して、料理が出てくるのを待つ。何分まで待つかを決めている</t>
        </is>
      </c>
    </row>
    <row r="10" ht="37" customHeight="1">
      <c r="B10" s="14" t="inlineStr">
        <is>
          <t>API Gateway</t>
        </is>
      </c>
      <c r="C10" s="12" t="inlineStr">
        <is>
          <t>外のお客さん専用の受付係</t>
        </is>
      </c>
      <c r="D10" s="12" t="inlineStr">
        <is>
          <t>外から来た注文を受け付ける。29秒たっても料理が来なければ「すみません、時間切れです」と言う決まりがある</t>
        </is>
      </c>
    </row>
    <row r="11" ht="22" customHeight="1">
      <c r="B11" s="13" t="inlineStr">
        <is>
          <t>VPC Link v2</t>
        </is>
      </c>
      <c r="C11" s="9" t="inlineStr">
        <is>
          <t>受付から店の中への専用通路</t>
        </is>
      </c>
      <c r="D11" s="9" t="inlineStr">
        <is>
          <t>外の受付係が、店の中の案内係に安全に注文を渡すための通路</t>
        </is>
      </c>
    </row>
    <row r="12" ht="37" customHeight="1">
      <c r="B12" s="14" t="inlineStr">
        <is>
          <t>ALB</t>
        </is>
      </c>
      <c r="C12" s="12" t="inlineStr">
        <is>
          <t>ホールの案内係</t>
        </is>
      </c>
      <c r="D12" s="12" t="inlineStr">
        <is>
          <t>空いている料理人に注文を回す。料理人から決められた時間なにも返事がないと「時間切れ」と言う</t>
        </is>
      </c>
    </row>
    <row r="13" ht="22" customHeight="1">
      <c r="B13" s="13" t="inlineStr">
        <is>
          <t>ECSタスク（JBoss EAP）</t>
        </is>
      </c>
      <c r="C13" s="9" t="inlineStr">
        <is>
          <t>料理人</t>
        </is>
      </c>
      <c r="D13" s="9" t="inlineStr">
        <is>
          <t>実際に料理（業務の処理）をつくる</t>
        </is>
      </c>
    </row>
    <row r="14" ht="37" customHeight="1">
      <c r="B14" s="14" t="inlineStr">
        <is>
          <t>JTA（トランザクション）</t>
        </is>
      </c>
      <c r="C14" s="12" t="inlineStr">
        <is>
          <t>「全部そろったら出す」ルールと、制限時間</t>
        </is>
      </c>
      <c r="D14" s="12" t="inlineStr">
        <is>
          <t>スープとご飯の両方ができないとお客さんに出さない。制限時間をすぎたら作りかけを捨ててやり直す</t>
        </is>
      </c>
    </row>
    <row r="15" ht="37" customHeight="1">
      <c r="B15" s="13" t="inlineStr">
        <is>
          <t>コネクションプール（JBoss）</t>
        </is>
      </c>
      <c r="C15" s="9" t="inlineStr">
        <is>
          <t>料理人が持っている倉庫の通行証</t>
        </is>
      </c>
      <c r="D15" s="9" t="inlineStr">
        <is>
          <t>倉庫に入るための通行証を何枚か持っていて、使い回す。全部使っているときは返ってくるまで待つ</t>
        </is>
      </c>
    </row>
    <row r="16" ht="37" customHeight="1">
      <c r="B16" s="14" t="inlineStr">
        <is>
          <t>RDS Proxy</t>
        </is>
      </c>
      <c r="C16" s="12" t="inlineStr">
        <is>
          <t>倉庫の入口の貸出係</t>
        </is>
      </c>
      <c r="D16" s="12" t="inlineStr">
        <is>
          <t>たくさんの料理人に、少ない倉庫の扉を順番に貸し出す。扉が全部使われていたら、決めた時間だけ待ってもらう</t>
        </is>
      </c>
    </row>
    <row r="17" ht="37" customHeight="1">
      <c r="B17" s="13" t="inlineStr">
        <is>
          <t>Aurora Serverless v2（2DB）</t>
        </is>
      </c>
      <c r="C17" s="9" t="inlineStr">
        <is>
          <t>自動で広さが変わる倉庫（2つ）</t>
        </is>
      </c>
      <c r="D17" s="9" t="inlineStr">
        <is>
          <t>食材（データ）をしまったり出したりする。混んでくると自動で棚と店員が増える</t>
        </is>
      </c>
    </row>
    <row r="18" ht="22" customHeight="1">
      <c r="B18" s="14" t="inlineStr">
        <is>
          <t>バッチ</t>
        </is>
      </c>
      <c r="C18" s="12" t="inlineStr">
        <is>
          <t>夜の大掃除・棚卸し係</t>
        </is>
      </c>
      <c r="D18" s="12" t="inlineStr">
        <is>
          <t>たくさんの作業をまとめて行う。時間が長くかかる</t>
        </is>
      </c>
    </row>
    <row r="19" ht="10" customHeight="1"/>
    <row r="20" ht="24" customHeight="1">
      <c r="B20" s="5" t="inlineStr">
        <is>
          <t xml:space="preserve">　いちばん大事な決まり：外側ほど長く待つ、内側ほど早くあきらめる</t>
        </is>
      </c>
    </row>
    <row r="21" ht="4" customHeight="1"/>
    <row r="22" ht="51" customHeight="1">
      <c r="B22" s="22" t="inlineStr">
        <is>
          <t>お母さんがお兄さんに「10分で牛乳を買ってきてね」と頼み、お兄さんは弟に「30分かかってもいいよ」と頼んだとします。10分たつと、お母さんは「遅いな」と別の人に頼みなおします。そのあと弟が牛乳を買って帰ってくると、牛乳が2本になってしまいます。システムでいうと「二重登録」です。弟（内側）が先に「売り切れだったよ」と帰ってくれば、こうはなりません。</t>
        </is>
      </c>
    </row>
    <row r="23" ht="23" customHeight="1">
      <c r="B23" s="6" t="inlineStr"/>
      <c r="C23" s="6" t="inlineStr">
        <is>
          <t>外側が先にあきらめると</t>
        </is>
      </c>
      <c r="D23" s="6" t="inlineStr">
        <is>
          <t>内側が先にあきらめると</t>
        </is>
      </c>
    </row>
    <row r="24" ht="37" customHeight="1">
      <c r="B24" s="13" t="inlineStr">
        <is>
          <t>結果</t>
        </is>
      </c>
      <c r="C24" s="9" t="inlineStr">
        <is>
          <t>中では仕事が続いたまま（ムダな仕事、二重の仕事）</t>
        </is>
      </c>
      <c r="D24" s="9" t="inlineStr">
        <is>
          <t>「なぜダメだったか」がちゃんと外側に伝わる</t>
        </is>
      </c>
    </row>
    <row r="25" ht="22" customHeight="1">
      <c r="B25" s="14" t="inlineStr">
        <is>
          <t>後片付け</t>
        </is>
      </c>
      <c r="C25" s="12" t="inlineStr">
        <is>
          <t>だれも片付けない（ロックや接続が残る）</t>
        </is>
      </c>
      <c r="D25" s="12" t="inlineStr">
        <is>
          <t>内側がきれいに片付けてから報告する</t>
        </is>
      </c>
    </row>
    <row r="26" ht="37" customHeight="1">
      <c r="B26" s="13" t="inlineStr">
        <is>
          <t>やりなおし</t>
        </is>
      </c>
      <c r="C26" s="9" t="inlineStr">
        <is>
          <t>やりなおしの注文と、まだ続いている仕事がぶつかる</t>
        </is>
      </c>
      <c r="D26" s="9" t="inlineStr">
        <is>
          <t>安心してやりなおせる</t>
        </is>
      </c>
    </row>
    <row r="27" ht="10" customHeight="1"/>
    <row r="28" ht="24" customHeight="1">
      <c r="B28" s="5" t="inlineStr">
        <is>
          <t xml:space="preserve">　2つめの決まり：つなぎっぱなしの電話は、かけた側が先に切る</t>
        </is>
      </c>
    </row>
    <row r="29" ht="4" customHeight="1"/>
    <row r="30" ht="51" customHeight="1">
      <c r="B30" s="22" t="inlineStr">
        <is>
          <t>案内係（ALB）と料理人（JBoss）は、毎回つなぎなおすと時間がかかるので、糸電話をつなぎっぱなしにしています（keep-alive）。料理人のほうがだまって先に糸を切ってしまうと、案内係は気づかずに次の注文を切れた糸に話しかけてしまい、注文が届きません（502エラー）。だから「使う側（案内係）が先に切る」ように、料理人の待ち時間を案内係より長くしておきます。</t>
        </is>
      </c>
    </row>
    <row r="31" ht="10" customHeight="1"/>
    <row r="32" ht="24" customHeight="1">
      <c r="B32" s="5" t="inlineStr">
        <is>
          <t xml:space="preserve">　3つめの決まり：みんなで使う物は、決まりを1つしか持てない</t>
        </is>
      </c>
    </row>
    <row r="33" ht="4" customHeight="1"/>
    <row r="34" ht="36" customHeight="1">
      <c r="B34" s="22" t="inlineStr">
        <is>
          <t>倉庫の貸出係（RDS Proxy）が1人だと、「昼のお客さん用の料理人は10秒であきらめる」「夜の大掃除係は2分待つ」と、人によって決まりを変えられません。そこで、貸出係を2人にする（オンライン用とバッチ用で RDS Proxy を分ける）と、それぞれに合った決まりにできます。</t>
        </is>
      </c>
    </row>
    <row r="35" ht="10" customHeight="1"/>
    <row r="36" ht="24" customHeight="1">
      <c r="B36" s="5" t="inlineStr">
        <is>
          <t xml:space="preserve">　待ちには5つの種類がある</t>
        </is>
      </c>
    </row>
    <row r="37" ht="4" customHeight="1"/>
    <row r="38" ht="23" customHeight="1">
      <c r="B38" s="6" t="inlineStr">
        <is>
          <t>待ちの種類</t>
        </is>
      </c>
      <c r="C38" s="6" t="inlineStr">
        <is>
          <t>たとえ</t>
        </is>
      </c>
      <c r="D38" s="6" t="inlineStr">
        <is>
          <t>システムの例</t>
        </is>
      </c>
    </row>
    <row r="39" ht="37" customHeight="1">
      <c r="B39" s="13" t="inlineStr">
        <is>
          <t>つながるまでの待ち（接続タイムアウト）</t>
        </is>
      </c>
      <c r="C39" s="9" t="inlineStr">
        <is>
          <t>電話がつながるまで</t>
        </is>
      </c>
      <c r="D39" s="9" t="inlineStr">
        <is>
          <t>Connector/J の connectTimeout</t>
        </is>
      </c>
    </row>
    <row r="40" ht="37" customHeight="1">
      <c r="B40" s="14" t="inlineStr">
        <is>
          <t>順番待ち（取得・借用タイムアウト）</t>
        </is>
      </c>
      <c r="C40" s="12" t="inlineStr">
        <is>
          <t>傘立ての傘が返ってくるまで</t>
        </is>
      </c>
      <c r="D40" s="12" t="inlineStr">
        <is>
          <t>JBoss の blocking-timeout-wait-millis、RDS Proxy の ConnectionBorrowTimeout</t>
        </is>
      </c>
    </row>
    <row r="41" ht="37" customHeight="1">
      <c r="B41" s="13" t="inlineStr">
        <is>
          <t>仕事が終わるまでの待ち（処理・応答タイムアウト）</t>
        </is>
      </c>
      <c r="C41" s="9" t="inlineStr">
        <is>
          <t>料理ができるまで</t>
        </is>
      </c>
      <c r="D41" s="9" t="inlineStr">
        <is>
          <t>API Gateway の統合タイムアウト、JTA、query timeout、ロック待ち</t>
        </is>
      </c>
    </row>
    <row r="42" ht="37" customHeight="1">
      <c r="B42" s="14" t="inlineStr">
        <is>
          <t>だまっている時間の上限（アイドルタイムアウト）</t>
        </is>
      </c>
      <c r="C42" s="12" t="inlineStr">
        <is>
          <t>糸電話で無言が続いたら切る</t>
        </is>
      </c>
      <c r="D42" s="12" t="inlineStr">
        <is>
          <t>ALB idle、Undertow no-request-timeout、RDS Proxy IdleClientTimeout、wait_timeout</t>
        </is>
      </c>
    </row>
    <row r="43" ht="22" customHeight="1">
      <c r="B43" s="13" t="inlineStr">
        <is>
          <t>使える期間の上限（寿命）</t>
        </is>
      </c>
      <c r="C43" s="9" t="inlineStr">
        <is>
          <t>通行証の有効期限</t>
        </is>
      </c>
      <c r="D43" s="9" t="inlineStr">
        <is>
          <t>RDS Proxy のクライアント接続は最長24時間（変えられない）</t>
        </is>
      </c>
    </row>
    <row r="44" ht="10" customHeight="1"/>
    <row r="45" ht="24" customHeight="1">
      <c r="B45" s="5" t="inlineStr">
        <is>
          <t xml:space="preserve">　5つの道（経路）をひとことで</t>
        </is>
      </c>
    </row>
    <row r="46" ht="4" customHeight="1"/>
    <row r="47" ht="23" customHeight="1">
      <c r="B47" s="6" t="inlineStr">
        <is>
          <t>経路</t>
        </is>
      </c>
      <c r="C47" s="6" t="inlineStr">
        <is>
          <t>たとえ</t>
        </is>
      </c>
      <c r="D47" s="6" t="inlineStr">
        <is>
          <t>待てる長さのめやす</t>
        </is>
      </c>
    </row>
    <row r="48" ht="37" customHeight="1">
      <c r="B48" s="13" t="inlineStr">
        <is>
          <t>インターネットAPI</t>
        </is>
      </c>
      <c r="C48" s="9" t="inlineStr">
        <is>
          <t>外のお客さん。受付係（API Gateway）が29秒で必ず打ち切る</t>
        </is>
      </c>
      <c r="D48" s="9" t="inlineStr">
        <is>
          <t>25秒以内に答えを返す</t>
        </is>
      </c>
    </row>
    <row r="49" ht="37" customHeight="1">
      <c r="B49" s="14" t="inlineStr">
        <is>
          <t>Salesforce API</t>
        </is>
      </c>
      <c r="C49" s="12" t="inlineStr">
        <is>
          <t>取引先のお店からの電話注文。相手の電話は何もしないと10秒で切れる設定</t>
        </is>
      </c>
      <c r="D49" s="12" t="inlineStr">
        <is>
          <t>25秒以内に返す。相手の待ち時間は40秒に設定してもらう</t>
        </is>
      </c>
    </row>
    <row r="50" ht="37" customHeight="1">
      <c r="B50" s="13" t="inlineStr">
        <is>
          <t>イントラAPI（最重）</t>
        </is>
      </c>
      <c r="C50" s="9" t="inlineStr">
        <is>
          <t>社内からの大口注文。外の受付係を通らないので長く待てる</t>
        </is>
      </c>
      <c r="D50" s="9" t="inlineStr">
        <is>
          <t>2分（120秒）まで。それより長いものは「あとで届けます（非同期）」にする</t>
        </is>
      </c>
    </row>
    <row r="51" ht="22" customHeight="1">
      <c r="B51" s="14" t="inlineStr">
        <is>
          <t>イントラ画面</t>
        </is>
      </c>
      <c r="C51" s="12" t="inlineStr">
        <is>
          <t>店の中で人が立って待っている</t>
        </is>
      </c>
      <c r="D51" s="12" t="inlineStr">
        <is>
          <t>30秒まで（人は10秒をこえるとイライラして、もう一度ボタンを押しがち）</t>
        </is>
      </c>
    </row>
    <row r="52" ht="22" customHeight="1">
      <c r="B52" s="13" t="inlineStr">
        <is>
          <t>バッチ</t>
        </is>
      </c>
      <c r="C52" s="9" t="inlineStr">
        <is>
          <t>夜の大掃除</t>
        </is>
      </c>
      <c r="D52" s="9" t="inlineStr">
        <is>
          <t>全体は数分〜数時間。ただし小分け（チャンク）にして、1回の片付けは5分以内</t>
        </is>
      </c>
    </row>
    <row r="53" ht="4" customHeight="1"/>
    <row r="54" ht="42" customHeight="1">
      <c r="B54" s="15" t="inlineStr">
        <is>
          <r>
            <rPr>
              <rFont val="Meiryo UI"/>
              <b val="1"/>
              <sz val="10"/>
            </rPr>
            <t xml:space="preserve">【ポイント】 </t>
          </r>
          <r>
            <rPr>
              <rFont val="Meiryo UI"/>
              <sz val="10"/>
            </rPr>
            <t>タイムアウトは「早く終わらせる魔法」ではありません。「困ったときに、どこまで被害を広げないか」を決める安全装置です。遅い原因（重いSQL、足りない容量）は別に直す必要があります。</t>
          </r>
        </is>
      </c>
      <c r="C54" s="16" t="n"/>
      <c r="D54" s="17" t="n"/>
    </row>
  </sheetData>
  <mergeCells count="13">
    <mergeCell ref="B28:D28"/>
    <mergeCell ref="B36:D36"/>
    <mergeCell ref="C2:D2"/>
    <mergeCell ref="B34:D34"/>
    <mergeCell ref="B45:D45"/>
    <mergeCell ref="B1:D1"/>
    <mergeCell ref="B22:D22"/>
    <mergeCell ref="B32:D32"/>
    <mergeCell ref="B4:D4"/>
    <mergeCell ref="B30:D30"/>
    <mergeCell ref="B6:D6"/>
    <mergeCell ref="B54:D54"/>
    <mergeCell ref="B20:D20"/>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3.xml><?xml version="1.0" encoding="utf-8"?>
<worksheet xmlns="http://schemas.openxmlformats.org/spreadsheetml/2006/main">
  <sheetPr>
    <tabColor rgb="00A6A6A6"/>
    <outlinePr summaryBelow="1" summaryRight="1"/>
    <pageSetUpPr fitToPage="1"/>
  </sheetPr>
  <dimension ref="A1:I40"/>
  <sheetViews>
    <sheetView showGridLines="0" zoomScale="100" workbookViewId="0">
      <selection activeCell="A1" sqref="A1"/>
    </sheetView>
  </sheetViews>
  <sheetFormatPr baseColWidth="8" defaultRowHeight="15"/>
  <cols>
    <col width="2" customWidth="1" min="1" max="1"/>
    <col width="18" customWidth="1" min="2" max="2"/>
    <col width="18" customWidth="1" min="3" max="3"/>
    <col width="18" customWidth="1" min="4" max="4"/>
    <col width="14" customWidth="1" min="5" max="5"/>
    <col width="16" customWidth="1" min="6" max="6"/>
    <col width="22" customWidth="1" min="7" max="7"/>
    <col width="16" customWidth="1" min="8" max="8"/>
    <col width="22" customWidth="1" min="9" max="9"/>
  </cols>
  <sheetData>
    <row r="1" ht="36" customHeight="1">
      <c r="B1" s="1" t="inlineStr">
        <is>
          <t>全体構成と5つの経路</t>
        </is>
      </c>
      <c r="C1" s="2" t="n"/>
      <c r="D1" s="2" t="n"/>
      <c r="E1" s="2" t="n"/>
      <c r="F1" s="2" t="n"/>
      <c r="G1" s="2" t="n"/>
      <c r="H1" s="2" t="n"/>
      <c r="I1" s="2" t="n"/>
    </row>
    <row r="2" ht="18" customHeight="1">
      <c r="B2" s="20" t="inlineStr">
        <is>
          <t>« 00_表紙（目次）へ戻る</t>
        </is>
      </c>
      <c r="D2" s="21" t="inlineStr">
        <is>
          <t>Aurora Serverless v2 共有構成のタイムアウト設計ガイド　｜　全体構成と5つの経路</t>
        </is>
      </c>
    </row>
    <row r="3" ht="6" customHeight="1"/>
    <row r="4" ht="36" customHeight="1">
      <c r="B4" s="4" t="inlineStr">
        <is>
          <t>どの経路がどの部品を通るかを整理します。通る部品が多いほど「外側のタイマー」が増え、順番の設計が大切になります。（図の ALB と RDS Proxy の分け方は推奨パターン P2 の場合。P1 では1つずつを共有）</t>
        </is>
      </c>
    </row>
    <row r="5" ht="10" customHeight="1"/>
    <row r="6" ht="24" customHeight="1">
      <c r="B6" s="5" t="inlineStr">
        <is>
          <t xml:space="preserve">　経路 × 通過する部品</t>
        </is>
      </c>
    </row>
    <row r="7" ht="4" customHeight="1"/>
    <row r="8" ht="38" customHeight="1">
      <c r="B8" s="6" t="inlineStr">
        <is>
          <t>経路</t>
        </is>
      </c>
      <c r="C8" s="6" t="inlineStr">
        <is>
          <t>呼び出し元</t>
        </is>
      </c>
      <c r="D8" s="6" t="inlineStr">
        <is>
          <t>API Gateway</t>
        </is>
      </c>
      <c r="E8" s="6" t="inlineStr">
        <is>
          <t>VPC Link v2</t>
        </is>
      </c>
      <c r="F8" s="6" t="inlineStr">
        <is>
          <t>ALB</t>
        </is>
      </c>
      <c r="G8" s="6" t="inlineStr">
        <is>
          <t>ECSタスク（JBoss EAP 8.1）</t>
        </is>
      </c>
      <c r="H8" s="6" t="inlineStr">
        <is>
          <t>RDS Proxy</t>
        </is>
      </c>
      <c r="I8" s="6" t="inlineStr">
        <is>
          <t>Aurora Serverless v2</t>
        </is>
      </c>
    </row>
    <row r="9" ht="52" customHeight="1">
      <c r="B9" s="13" t="inlineStr">
        <is>
          <t>インターネットAPI</t>
        </is>
      </c>
      <c r="C9" s="9" t="inlineStr">
        <is>
          <t>不特定のクライアント（スマホアプリ、取引先システム等）</t>
        </is>
      </c>
      <c r="D9" s="9" t="inlineStr">
        <is>
          <t>●（REST・Regional）
統合TO 既定29秒</t>
        </is>
      </c>
      <c r="E9" s="23" t="inlineStr">
        <is>
          <t>●</t>
        </is>
      </c>
      <c r="F9" s="23" t="inlineStr">
        <is>
          <t>●（内部ALB）</t>
        </is>
      </c>
      <c r="G9" s="23" t="inlineStr">
        <is>
          <t>●（JTA）</t>
        </is>
      </c>
      <c r="H9" s="23" t="inlineStr">
        <is>
          <t>●</t>
        </is>
      </c>
      <c r="I9" s="23" t="inlineStr">
        <is>
          <t>●（DB-A／DB-B）</t>
        </is>
      </c>
    </row>
    <row r="10" ht="97" customHeight="1">
      <c r="B10" s="14" t="inlineStr">
        <is>
          <t>Salesforce API</t>
        </is>
      </c>
      <c r="C10" s="12" t="inlineStr">
        <is>
          <t>Salesforce（Apex／Flow／External Services）
コールアウト既定10秒</t>
        </is>
      </c>
      <c r="D10" s="24" t="inlineStr">
        <is>
          <t>●</t>
        </is>
      </c>
      <c r="E10" s="24" t="inlineStr">
        <is>
          <t>●</t>
        </is>
      </c>
      <c r="F10" s="24" t="inlineStr">
        <is>
          <t>●</t>
        </is>
      </c>
      <c r="G10" s="24" t="inlineStr">
        <is>
          <t>●</t>
        </is>
      </c>
      <c r="H10" s="24" t="inlineStr">
        <is>
          <t>●</t>
        </is>
      </c>
      <c r="I10" s="24" t="inlineStr">
        <is>
          <t>●</t>
        </is>
      </c>
    </row>
    <row r="11" ht="52" customHeight="1">
      <c r="B11" s="13" t="inlineStr">
        <is>
          <t>イントラAPI（最重）</t>
        </is>
      </c>
      <c r="C11" s="9" t="inlineStr">
        <is>
          <t>社内システム（Direct Connect／VPN 経由）</t>
        </is>
      </c>
      <c r="D11" s="23" t="inlineStr">
        <is>
          <t>—</t>
        </is>
      </c>
      <c r="E11" s="23" t="inlineStr">
        <is>
          <t>—</t>
        </is>
      </c>
      <c r="F11" s="23" t="inlineStr">
        <is>
          <t>●</t>
        </is>
      </c>
      <c r="G11" s="23" t="inlineStr">
        <is>
          <t>●（長時間処理）</t>
        </is>
      </c>
      <c r="H11" s="23" t="inlineStr">
        <is>
          <t>●</t>
        </is>
      </c>
      <c r="I11" s="23" t="inlineStr">
        <is>
          <t>●</t>
        </is>
      </c>
    </row>
    <row r="12" ht="37" customHeight="1">
      <c r="B12" s="14" t="inlineStr">
        <is>
          <t>イントラ画面</t>
        </is>
      </c>
      <c r="C12" s="12" t="inlineStr">
        <is>
          <t>社内ユーザーのブラウザ</t>
        </is>
      </c>
      <c r="D12" s="24" t="inlineStr">
        <is>
          <t>—</t>
        </is>
      </c>
      <c r="E12" s="24" t="inlineStr">
        <is>
          <t>—</t>
        </is>
      </c>
      <c r="F12" s="24" t="inlineStr">
        <is>
          <t>●</t>
        </is>
      </c>
      <c r="G12" s="24" t="inlineStr">
        <is>
          <t>●（画面描画）</t>
        </is>
      </c>
      <c r="H12" s="24" t="inlineStr">
        <is>
          <t>●</t>
        </is>
      </c>
      <c r="I12" s="24" t="inlineStr">
        <is>
          <t>●</t>
        </is>
      </c>
    </row>
    <row r="13" ht="22" customHeight="1">
      <c r="B13" s="13" t="inlineStr">
        <is>
          <t>バッチ</t>
        </is>
      </c>
      <c r="C13" s="9" t="inlineStr">
        <is>
          <t>バッチサーバ</t>
        </is>
      </c>
      <c r="D13" s="23" t="inlineStr">
        <is>
          <t>—</t>
        </is>
      </c>
      <c r="E13" s="23" t="inlineStr">
        <is>
          <t>—</t>
        </is>
      </c>
      <c r="F13" s="23" t="inlineStr">
        <is>
          <t>—</t>
        </is>
      </c>
      <c r="G13" s="23" t="inlineStr">
        <is>
          <t>—</t>
        </is>
      </c>
      <c r="H13" s="23" t="inlineStr">
        <is>
          <t>●</t>
        </is>
      </c>
      <c r="I13" s="23" t="inlineStr">
        <is>
          <t>●</t>
        </is>
      </c>
    </row>
    <row r="14" ht="10" customHeight="1"/>
    <row r="15" ht="24" customHeight="1">
      <c r="B15" s="5" t="inlineStr">
        <is>
          <t xml:space="preserve">　経路ごとの性格と、タイムアウト設計の主役</t>
        </is>
      </c>
    </row>
    <row r="16" ht="4" customHeight="1"/>
    <row r="17" ht="38" customHeight="1">
      <c r="B17" s="6" t="inlineStr">
        <is>
          <t>経路</t>
        </is>
      </c>
      <c r="C17" s="6" t="inlineStr">
        <is>
          <t>主な制約</t>
        </is>
      </c>
      <c r="D17" s="6" t="inlineStr">
        <is>
          <t>負荷・処理時間の性格</t>
        </is>
      </c>
      <c r="E17" s="6" t="inlineStr">
        <is>
          <t>タイムアウト設計の主役</t>
        </is>
      </c>
      <c r="F17" s="6" t="inlineStr">
        <is>
          <t>特に注意すること</t>
        </is>
      </c>
      <c r="G17" s="7" t="n"/>
      <c r="H17" s="7" t="n"/>
      <c r="I17" s="8" t="n"/>
    </row>
    <row r="18" ht="127" customHeight="1">
      <c r="B18" s="13" t="inlineStr">
        <is>
          <t>インターネットAPI</t>
        </is>
      </c>
      <c r="C18" s="9" t="inlineStr">
        <is>
          <t>API Gateway の統合タイムアウト（既定上限29秒。Regional／Private の REST API は申請で引上げ可。Edge最適化は不可）</t>
        </is>
      </c>
      <c r="D18" s="9" t="inlineStr">
        <is>
          <t>短時間・高頻度（高TPS）</t>
        </is>
      </c>
      <c r="E18" s="9" t="inlineStr">
        <is>
          <t>API Gateway 29秒に収まるアプリ期限（25秒）</t>
        </is>
      </c>
      <c r="F18" s="9" t="inlineStr">
        <is>
          <t>API Gateway が504を返しても裏の処理は止まらない → アプリ期限を必ず短く</t>
        </is>
      </c>
      <c r="G18" s="10" t="n"/>
      <c r="H18" s="10" t="n"/>
      <c r="I18" s="11" t="n"/>
    </row>
    <row r="19" ht="97" customHeight="1">
      <c r="B19" s="14" t="inlineStr">
        <is>
          <t>Salesforce API</t>
        </is>
      </c>
      <c r="C19" s="12" t="inlineStr">
        <is>
          <t>Salesforce のコールアウト：既定10秒、最大120秒、1つの Apex トランザクション内の累計も120秒</t>
        </is>
      </c>
      <c r="D19" s="12" t="inlineStr">
        <is>
          <t>中程度、同期連携</t>
        </is>
      </c>
      <c r="E19" s="12" t="inlineStr">
        <is>
          <t>Salesforce の setTimeout ＞ API Gateway ＞ アプリ期限 の順序</t>
        </is>
      </c>
      <c r="F19" s="12" t="inlineStr">
        <is>
          <t>既定10秒のままだと Salesforce が先に諦めて再送→二重登録。冪等キー必須</t>
        </is>
      </c>
      <c r="G19" s="10" t="n"/>
      <c r="H19" s="10" t="n"/>
      <c r="I19" s="11" t="n"/>
    </row>
    <row r="20" ht="82" customHeight="1">
      <c r="B20" s="13" t="inlineStr">
        <is>
          <t>イントラAPI（最重）</t>
        </is>
      </c>
      <c r="C20" s="9" t="inlineStr">
        <is>
          <t>ALB の idle_timeout（LB単位、1〜4000秒）。社内FW・プロキシのタイマー</t>
        </is>
      </c>
      <c r="D20" s="9" t="inlineStr">
        <is>
          <t>最も重い（長時間・大量データ）。少ない件数でも接続を長く占有</t>
        </is>
      </c>
      <c r="E20" s="9" t="inlineStr">
        <is>
          <t>ALB idle とアプリ期限（120秒）、他経路からの隔離</t>
        </is>
      </c>
      <c r="F20" s="9" t="inlineStr">
        <is>
          <t>同じスレッド・プール・Proxy を共有すると他経路を巻き込む（連鎖障害）</t>
        </is>
      </c>
      <c r="G20" s="10" t="n"/>
      <c r="H20" s="10" t="n"/>
      <c r="I20" s="11" t="n"/>
    </row>
    <row r="21" ht="52" customHeight="1">
      <c r="B21" s="14" t="inlineStr">
        <is>
          <t>イントラ画面</t>
        </is>
      </c>
      <c r="C21" s="12" t="inlineStr">
        <is>
          <t>人の我慢（約10秒で離脱・再クリック）、ブラウザ</t>
        </is>
      </c>
      <c r="D21" s="12" t="inlineStr">
        <is>
          <t>対話的・短時間</t>
        </is>
      </c>
      <c r="E21" s="12" t="inlineStr">
        <is>
          <t>画面の応答期限（30秒）</t>
        </is>
      </c>
      <c r="F21" s="12" t="inlineStr">
        <is>
          <t>タイムアウト後の再クリックによる二重送信。長い処理は非同期＋進捗表示</t>
        </is>
      </c>
      <c r="G21" s="10" t="n"/>
      <c r="H21" s="10" t="n"/>
      <c r="I21" s="11" t="n"/>
    </row>
    <row r="22" ht="112" customHeight="1">
      <c r="B22" s="13" t="inlineStr">
        <is>
          <t>バッチ</t>
        </is>
      </c>
      <c r="C22" s="9" t="inlineStr">
        <is>
          <t>RDS Proxy の IdleClientTimeout・ConnectionBorrowTimeout・24時間寿命、オンラインとのロック競合</t>
        </is>
      </c>
      <c r="D22" s="9" t="inlineStr">
        <is>
          <t>長時間・大量・少数の長い接続</t>
        </is>
      </c>
      <c r="E22" s="9" t="inlineStr">
        <is>
          <t>チャンク（コミット単位）ごとの期限、バッチ専用 Proxy</t>
        </is>
      </c>
      <c r="F22" s="9" t="inlineStr">
        <is>
          <t>長いトランザクションはロックとUndo履歴を溜め、オンラインを遅くする</t>
        </is>
      </c>
      <c r="G22" s="10" t="n"/>
      <c r="H22" s="10" t="n"/>
      <c r="I22" s="11" t="n"/>
    </row>
    <row r="23" ht="10" customHeight="1"/>
    <row r="24" ht="24" customHeight="1">
      <c r="B24" s="5" t="inlineStr">
        <is>
          <t xml:space="preserve">　共有されている部品と「値を1つしか持てない」設定</t>
        </is>
      </c>
    </row>
    <row r="25" ht="4" customHeight="1"/>
    <row r="26" ht="38" customHeight="1">
      <c r="B26" s="6" t="inlineStr">
        <is>
          <t>部品</t>
        </is>
      </c>
      <c r="C26" s="6" t="inlineStr">
        <is>
          <t>共有する経路</t>
        </is>
      </c>
      <c r="D26" s="6" t="inlineStr">
        <is>
          <t>1つしか持てない設定（適用単位）</t>
        </is>
      </c>
      <c r="E26" s="6" t="inlineStr">
        <is>
          <t>分ける方法</t>
        </is>
      </c>
      <c r="F26" s="7" t="n"/>
      <c r="G26" s="7" t="n"/>
      <c r="H26" s="7" t="n"/>
      <c r="I26" s="8" t="n"/>
    </row>
    <row r="27" ht="97" customHeight="1">
      <c r="B27" s="13" t="inlineStr">
        <is>
          <t>内部ALB</t>
        </is>
      </c>
      <c r="C27" s="9" t="inlineStr">
        <is>
          <t>P1ではオンライン全経路</t>
        </is>
      </c>
      <c r="D27" s="9" t="inlineStr">
        <is>
          <t>idle_timeout.timeout_seconds（LB単位）、client_keep_alive.seconds（LB単位）</t>
        </is>
      </c>
      <c r="E27" s="9" t="inlineStr">
        <is>
          <t>外部API用（VPC Link v2 の先）とイントラ用で ALB を分ける。登録解除遅延などはターゲットグループ単位なので経路別にできる</t>
        </is>
      </c>
      <c r="F27" s="10" t="n"/>
      <c r="G27" s="10" t="n"/>
      <c r="H27" s="10" t="n"/>
      <c r="I27" s="11" t="n"/>
    </row>
    <row r="28" ht="142" customHeight="1">
      <c r="B28" s="14" t="inlineStr">
        <is>
          <t>ECSサービス／JBoss EAP</t>
        </is>
      </c>
      <c r="C28" s="12" t="inlineStr">
        <is>
          <t>P1ではオンライン全経路</t>
        </is>
      </c>
      <c r="D28" s="12" t="inlineStr">
        <is>
          <t>Undertow no-request-timeout（HTTPリスナー単位）、transactions default-timeout（サーバ単位）、データソース設定（DS単位）</t>
        </is>
      </c>
      <c r="E28" s="12" t="inlineStr">
        <is>
          <t>ECSサービスを分割する。分割できない場合は @TransactionTimeout（メソッド単位）や UserTransaction.setTransactionTimeout() で経路別に</t>
        </is>
      </c>
      <c r="F28" s="10" t="n"/>
      <c r="G28" s="10" t="n"/>
      <c r="H28" s="10" t="n"/>
      <c r="I28" s="11" t="n"/>
    </row>
    <row r="29" ht="142" customHeight="1">
      <c r="B29" s="13" t="inlineStr">
        <is>
          <t>RDS Proxy</t>
        </is>
      </c>
      <c r="C29" s="9" t="inlineStr">
        <is>
          <t>全経路（バッチ含む）</t>
        </is>
      </c>
      <c r="D29" s="9" t="inlineStr">
        <is>
          <t>IdleClientTimeout（Proxy単位）、ConnectionBorrowTimeout・MaxConnectionsPercent・InitQuery（ターゲットグループ単位＝実質Proxy単位）</t>
        </is>
      </c>
      <c r="E29" s="9" t="inlineStr">
        <is>
          <t>同じクラスタに複数の Proxy を作れる（オンライン用・バッチ用）。アカウント既定上限は20 Proxy</t>
        </is>
      </c>
      <c r="F29" s="10" t="n"/>
      <c r="G29" s="10" t="n"/>
      <c r="H29" s="10" t="n"/>
      <c r="I29" s="11" t="n"/>
    </row>
    <row r="30" ht="112" customHeight="1">
      <c r="B30" s="14" t="inlineStr">
        <is>
          <t>Aurora クラスタ</t>
        </is>
      </c>
      <c r="C30" s="12" t="inlineStr">
        <is>
          <t>全経路</t>
        </is>
      </c>
      <c r="D30" s="12" t="inlineStr">
        <is>
          <t>クラスタ／DBパラメータグループ（innodb_lock_wait_timeout、wait_timeout、max_execution_time などの全体既定）</t>
        </is>
      </c>
      <c r="E30" s="12" t="inlineStr">
        <is>
          <t>セッション単位で変える。ただし追跡対象外の変数の SET は RDS Proxy のピン留め要因 → Proxy の InitQuery、SQLヒントで代替</t>
        </is>
      </c>
      <c r="F30" s="10" t="n"/>
      <c r="G30" s="10" t="n"/>
      <c r="H30" s="10" t="n"/>
      <c r="I30" s="11" t="n"/>
    </row>
    <row r="31" ht="82" customHeight="1">
      <c r="B31" s="13" t="inlineStr">
        <is>
          <t>Aurora の容量（ACU）</t>
        </is>
      </c>
      <c r="C31" s="9" t="inlineStr">
        <is>
          <t>全経路</t>
        </is>
      </c>
      <c r="D31" s="9" t="inlineStr">
        <is>
          <t>最小／最大 ACU（クラスタ単位）。max_connections は最大 ACU から決まる</t>
        </is>
      </c>
      <c r="E31" s="9" t="inlineStr">
        <is>
          <t>重い読み取りはリーダーへ（昇格階層2〜15のリーダーはライターと独立してスケール）。業務時間帯の前に最小ACUを上げる</t>
        </is>
      </c>
      <c r="F31" s="10" t="n"/>
      <c r="G31" s="10" t="n"/>
      <c r="H31" s="10" t="n"/>
      <c r="I31" s="11" t="n"/>
    </row>
    <row r="32" ht="10" customHeight="1"/>
    <row r="33" ht="24" customHeight="1">
      <c r="B33" s="5" t="inlineStr">
        <is>
          <t xml:space="preserve">　2DB（JTA＋XA／2相コミット）の前提と注意</t>
        </is>
      </c>
    </row>
    <row r="34" ht="4" customHeight="1"/>
    <row r="35" ht="19" customHeight="1">
      <c r="B35" s="25" t="inlineStr">
        <is>
          <t>・2つのDBを1つのトランザクションで更新する場合は XA（2相コミット）になる。各DBに XA データソース（com.mysql.cj.jdbc.MysqlXADataSource）を使う。</t>
        </is>
      </c>
    </row>
    <row r="36" ht="34" customHeight="1">
      <c r="B36" s="25" t="inlineStr">
        <is>
          <t>・AWS は Aurora MySQL での XA トランザクションを推奨していない（PREPARED 状態のまま残ると復旧時間が長くなる）。使う場合は「PREPAREDのまま放置しない」「XAは小さく」。PREPAREDが残っているとインプレースアップグレードも中止される。</t>
        </is>
      </c>
    </row>
    <row r="37" ht="34" customHeight="1">
      <c r="B37" s="25" t="inlineStr">
        <is>
          <t>・RDS Proxy のドキュメントには XA の挙動（ピン留め・多重化）の明記がない。【要検証】XA START／END／PREPARE／COMMIT、XA RECOVER、フェイルオーバー時の動きを PoC で確認する。Connector/J には pinGlobalTxToPhysicalConnection=true を設定する。</t>
        </is>
      </c>
    </row>
    <row r="38" ht="34" customHeight="1">
      <c r="B38" s="25" t="inlineStr">
        <is>
          <t>・ECS（コンテナ）で XA を使う場合、Narayana のトランザクションログ（ObjectStore）がタスク停止で消えると、PREPARED の「迷子トランザクション」を回復できない。永続ストア（JDBCオブジェクトストア等）と、タスクごとに一意な node-identifier が必要。</t>
        </is>
      </c>
    </row>
    <row r="39" ht="19" customHeight="1">
      <c r="B39" s="25" t="inlineStr">
        <is>
          <t>・PREPARED のまま残った XA はロックを持ち続ける。これが他の経路のロック待ちタイムアウトの原因になる。</t>
        </is>
      </c>
    </row>
    <row r="40" ht="19" customHeight="1">
      <c r="B40" s="25" t="inlineStr">
        <is>
          <t>・代替案：1トランザクション1DBに設計し直す（Saga・補償処理・Transactional Outbox）、または Narayana の LRCO（最後の1資源を非XAで扱う最適化）。</t>
        </is>
      </c>
    </row>
  </sheetData>
  <mergeCells count="26">
    <mergeCell ref="D2:I2"/>
    <mergeCell ref="B2:C2"/>
    <mergeCell ref="E29:I29"/>
    <mergeCell ref="B39:I39"/>
    <mergeCell ref="E28:I28"/>
    <mergeCell ref="F19:I19"/>
    <mergeCell ref="E31:I31"/>
    <mergeCell ref="B1:I1"/>
    <mergeCell ref="E30:I30"/>
    <mergeCell ref="B38:I38"/>
    <mergeCell ref="F21:I21"/>
    <mergeCell ref="E27:I27"/>
    <mergeCell ref="B37:I37"/>
    <mergeCell ref="F20:I20"/>
    <mergeCell ref="E26:I26"/>
    <mergeCell ref="B40:I40"/>
    <mergeCell ref="F18:I18"/>
    <mergeCell ref="B15:I15"/>
    <mergeCell ref="F17:I17"/>
    <mergeCell ref="B33:I33"/>
    <mergeCell ref="B6:I6"/>
    <mergeCell ref="B24:I24"/>
    <mergeCell ref="B36:I36"/>
    <mergeCell ref="B35:I35"/>
    <mergeCell ref="B4:I4"/>
    <mergeCell ref="F22:I22"/>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4.xml><?xml version="1.0" encoding="utf-8"?>
<worksheet xmlns="http://schemas.openxmlformats.org/spreadsheetml/2006/main">
  <sheetPr>
    <tabColor rgb="00A6A6A6"/>
    <outlinePr summaryBelow="1" summaryRight="1"/>
    <pageSetUpPr fitToPage="1"/>
  </sheetPr>
  <dimension ref="A1:E38"/>
  <sheetViews>
    <sheetView showGridLines="0" zoomScale="100" workbookViewId="0">
      <selection activeCell="A1" sqref="A1"/>
    </sheetView>
  </sheetViews>
  <sheetFormatPr baseColWidth="8" defaultRowHeight="15"/>
  <cols>
    <col width="2" customWidth="1" min="1" max="1"/>
    <col width="12" customWidth="1" min="2" max="2"/>
    <col width="40" customWidth="1" min="3" max="3"/>
    <col width="46" customWidth="1" min="4" max="4"/>
    <col width="46" customWidth="1" min="5" max="5"/>
  </cols>
  <sheetData>
    <row r="1" ht="36" customHeight="1">
      <c r="B1" s="1" t="inlineStr">
        <is>
          <t>タイムアウトの歴史と背景：なぜ必要になったのか</t>
        </is>
      </c>
      <c r="C1" s="2" t="n"/>
      <c r="D1" s="2" t="n"/>
      <c r="E1" s="2" t="n"/>
    </row>
    <row r="2" ht="18" customHeight="1">
      <c r="B2" s="20" t="inlineStr">
        <is>
          <t>« 00_表紙（目次）へ戻る</t>
        </is>
      </c>
      <c r="D2" s="21" t="inlineStr">
        <is>
          <t>Aurora Serverless v2 共有構成のタイムアウト設計ガイド　｜　タイムアウトの歴史と背景：なぜ必要になったのか</t>
        </is>
      </c>
    </row>
    <row r="3" ht="6" customHeight="1"/>
    <row r="4" ht="51" customHeight="1">
      <c r="B4" s="4" t="inlineStr">
        <is>
          <t>ネットワークの向こう側は見えません。相手が「壊れている」のか「遅いだけ」なのかを区別できないため、「一定時間で見切りをつける」仕組み＝タイムアウトが、通信が生まれたときから必要でした。その後、接続の使い回し（keep-alive・コネクションプール）、分散トランザクション、クラウドの共有部品が登場するたびに、新しいタイムアウトが増えてきました。</t>
        </is>
      </c>
    </row>
    <row r="5" ht="10" customHeight="1"/>
    <row r="6" ht="24" customHeight="1">
      <c r="B6" s="5" t="inlineStr">
        <is>
          <t xml:space="preserve">　年表</t>
        </is>
      </c>
    </row>
    <row r="7" ht="4" customHeight="1"/>
    <row r="8" ht="23" customHeight="1">
      <c r="B8" s="6" t="inlineStr">
        <is>
          <t>年</t>
        </is>
      </c>
      <c r="C8" s="6" t="inlineStr">
        <is>
          <t>出来事</t>
        </is>
      </c>
      <c r="D8" s="6" t="inlineStr">
        <is>
          <t>なぜ必要になったか（背景）</t>
        </is>
      </c>
      <c r="E8" s="6" t="inlineStr">
        <is>
          <t>今回の設計とのつながり</t>
        </is>
      </c>
    </row>
    <row r="9" ht="37" customHeight="1">
      <c r="B9" s="13" t="inlineStr">
        <is>
          <t>1961</t>
        </is>
      </c>
      <c r="C9" s="9" t="inlineStr">
        <is>
          <t>リトルの法則 L＝λW（J.D.C. Little が証明）</t>
        </is>
      </c>
      <c r="D9" s="9" t="inlineStr">
        <is>
          <t>待ち行列の基本法則。同時に処理中の数 L は、到着率 λ × 滞在時間 W</t>
        </is>
      </c>
      <c r="E9" s="9" t="inlineStr">
        <is>
          <t>処理時間が伸びると同時接続数が比例して増える。タイムアウトは W の上限＝同時接続数の上限（04_動作原理）</t>
        </is>
      </c>
    </row>
    <row r="10" ht="52" customHeight="1">
      <c r="B10" s="14" t="inlineStr">
        <is>
          <t>1968 / 1993</t>
        </is>
      </c>
      <c r="C10" s="12" t="inlineStr">
        <is>
          <t>応答時間の3つの限界（0.1秒・1秒・10秒）。R.B. Miller の研究（1968）を J. Nielsen が整理（1993）</t>
        </is>
      </c>
      <c r="D10" s="12" t="inlineStr">
        <is>
          <t>人がどれくらい待てるかの目安</t>
        </is>
      </c>
      <c r="E10" s="12" t="inlineStr">
        <is>
          <t>画面は10秒を超えると離脱・再クリックが増える → 30秒で必ず打ち切り、長いものは非同期＋進捗表示</t>
        </is>
      </c>
    </row>
    <row r="11" ht="37" customHeight="1">
      <c r="B11" s="13" t="inlineStr">
        <is>
          <t>1981</t>
        </is>
      </c>
      <c r="C11" s="9" t="inlineStr">
        <is>
          <t>TCP（RFC 793）</t>
        </is>
      </c>
      <c r="D11" s="9" t="inlineStr">
        <is>
          <t>再送タイムアウト。相手の故障と遅延を区別できないため、一定時間で諦める仕組みが必須に</t>
        </is>
      </c>
      <c r="E11" s="9" t="inlineStr">
        <is>
          <t>接続タイムアウト（connectTimeout）の原点</t>
        </is>
      </c>
    </row>
    <row r="12" ht="37" customHeight="1">
      <c r="B12" s="14" t="inlineStr">
        <is>
          <t>1989</t>
        </is>
      </c>
      <c r="C12" s="12" t="inlineStr">
        <is>
          <t>RFC 1122 で TCP keep-alive を規定（既定の間隔は2時間以上）</t>
        </is>
      </c>
      <c r="D12" s="12" t="inlineStr">
        <is>
          <t>黙ったまま壊れた接続（半開き接続）を見つけるため</t>
        </is>
      </c>
      <c r="E12" s="12" t="inlineStr">
        <is>
          <t>バッチの長い待ちでの生死確認（tcpKeepAlive、socketTimeout）</t>
        </is>
      </c>
    </row>
    <row r="13" ht="37" customHeight="1">
      <c r="B13" s="13" t="inlineStr">
        <is>
          <t>1991</t>
        </is>
      </c>
      <c r="C13" s="9" t="inlineStr">
        <is>
          <t>X/Open XA 仕様（2相コミット）</t>
        </is>
      </c>
      <c r="D13" s="9" t="inlineStr">
        <is>
          <t>複数のDBを「全部成功か、全部取消か」にする標準</t>
        </is>
      </c>
      <c r="E13" s="9" t="inlineStr">
        <is>
          <t>2DB更新（JTA＋XA）。PREPARED のまま残るリスク</t>
        </is>
      </c>
    </row>
    <row r="14" ht="37" customHeight="1">
      <c r="B14" s="14" t="inlineStr">
        <is>
          <t>1995</t>
        </is>
      </c>
      <c r="C14" s="12" t="inlineStr">
        <is>
          <t>MySQL 初公開。wait_timeout（既定8時間）で放置接続を掃除</t>
        </is>
      </c>
      <c r="D14" s="12" t="inlineStr">
        <is>
          <t>1接続1スレッドのDBでは、放置接続がメモリを食う</t>
        </is>
      </c>
      <c r="E14" s="12" t="inlineStr">
        <is>
          <t>wait_timeout ≧ RDS Proxy IdleClientTimeout</t>
        </is>
      </c>
    </row>
    <row r="15" ht="52" customHeight="1">
      <c r="B15" s="13" t="inlineStr">
        <is>
          <t>1996〜1999</t>
        </is>
      </c>
      <c r="C15" s="9" t="inlineStr">
        <is>
          <t>HTTP/1.0（RFC 1945、1接続1リクエスト）→ HTTP/1.1（RFC 2068／2616）で持続的接続（keep-alive）が既定に</t>
        </is>
      </c>
      <c r="D15" s="9" t="inlineStr">
        <is>
          <t>TCP接続を毎回作るコストを削減。代わりに「いつ切るか」のアイドルタイムアウトが必要に</t>
        </is>
      </c>
      <c r="E15" s="9" t="inlineStr">
        <is>
          <t>ALB idle と Undertow no-request-timeout の大小関係（502対策）</t>
        </is>
      </c>
    </row>
    <row r="16" ht="52" customHeight="1">
      <c r="B16" s="14" t="inlineStr">
        <is>
          <t>1997 / 1999</t>
        </is>
      </c>
      <c r="C16" s="12" t="inlineStr">
        <is>
          <t>JDBC 1.0（Statement.setQueryTimeout）／JDBC 2.0 拡張で DataSource・コネクションプール・XADataSource</t>
        </is>
      </c>
      <c r="D16" s="12" t="inlineStr">
        <is>
          <t>DB接続の作成は重いので使い回す（プール）。プールが空だと「借りる待ち」が生まれる</t>
        </is>
      </c>
      <c r="E16" s="12" t="inlineStr">
        <is>
          <t>blocking-timeout-wait-millis、query-timeout</t>
        </is>
      </c>
    </row>
    <row r="17" ht="37" customHeight="1">
      <c r="B17" s="13" t="inlineStr">
        <is>
          <t>1999</t>
        </is>
      </c>
      <c r="C17" s="9" t="inlineStr">
        <is>
          <t>JTA 1.0（J2EE 1.2）</t>
        </is>
      </c>
      <c r="D17" s="9" t="inlineStr">
        <is>
          <t>Javaで分散トランザクション。期限切れの取引を回収する仕組み（Reaper）</t>
        </is>
      </c>
      <c r="E17" s="9" t="inlineStr">
        <is>
          <t>JTA default-timeout（JBoss EAP 既定300秒）</t>
        </is>
      </c>
    </row>
    <row r="18" ht="37" customHeight="1">
      <c r="B18" s="14" t="inlineStr">
        <is>
          <t>2001前後</t>
        </is>
      </c>
      <c r="C18" s="12" t="inlineStr">
        <is>
          <t>InnoDB が MySQL に統合。innodb_lock_wait_timeout（既定50秒）</t>
        </is>
      </c>
      <c r="D18" s="12" t="inlineStr">
        <is>
          <t>行ロックの待ちが永遠に続かないようにする</t>
        </is>
      </c>
      <c r="E18" s="12" t="inlineStr">
        <is>
          <t>オンラインは短く（10秒）、バッチは長く（120秒）</t>
        </is>
      </c>
    </row>
    <row r="19" ht="52" customHeight="1">
      <c r="B19" s="13" t="inlineStr">
        <is>
          <t>2005〜2006</t>
        </is>
      </c>
      <c r="C19" s="9" t="inlineStr">
        <is>
          <t>JBoss が Arjuna のトランザクション技術を取得（のちの Narayana）。Red Hat が JBoss を買収（2006）</t>
        </is>
      </c>
      <c r="D19" s="9" t="inlineStr">
        <is>
          <t>企業向け Java EE の標準実装</t>
        </is>
      </c>
      <c r="E19" s="9" t="inlineStr">
        <is>
          <t>JBoss EAP のトランザクションマネージャ（Narayana）と Reaper</t>
        </is>
      </c>
    </row>
    <row r="20" ht="37" customHeight="1">
      <c r="B20" s="14" t="inlineStr">
        <is>
          <t>2007</t>
        </is>
      </c>
      <c r="C20" s="12" t="inlineStr">
        <is>
          <t>『Release It!』（M. Nygard）がタイムアウト・サーキットブレーカー・バルクヘッドを提唱</t>
        </is>
      </c>
      <c r="D20" s="12" t="inlineStr">
        <is>
          <t>1つの遅い部品が全体を巻き込む「連鎖障害」の教訓</t>
        </is>
      </c>
      <c r="E20" s="12" t="inlineStr">
        <is>
          <t>重いイントラAPIの隔離（バルクヘッド）、短いプール待ち</t>
        </is>
      </c>
    </row>
    <row r="21" ht="37" customHeight="1">
      <c r="B21" s="13" t="inlineStr">
        <is>
          <t>2009 / 2014</t>
        </is>
      </c>
      <c r="C21" s="9" t="inlineStr">
        <is>
          <t>AWS ELB 登場（アイドルタイムアウト60秒固定）→ 2014年に変更可能に</t>
        </is>
      </c>
      <c r="D21" s="9" t="inlineStr">
        <is>
          <t>クラウドのLBは大量の接続を抱えるため、黙った接続を掃除する</t>
        </is>
      </c>
      <c r="E21" s="9" t="inlineStr">
        <is>
          <t>ALB idle の既定60秒の由来</t>
        </is>
      </c>
    </row>
    <row r="22" ht="37" customHeight="1">
      <c r="B22" s="14" t="inlineStr">
        <is>
          <t>2010</t>
        </is>
      </c>
      <c r="C22" s="12" t="inlineStr">
        <is>
          <t>MySQL 5.5 で lock_wait_timeout（メタデータロック、既定1年）</t>
        </is>
      </c>
      <c r="D22" s="12" t="inlineStr">
        <is>
          <t>DDL と DML の衝突</t>
        </is>
      </c>
      <c r="E22" s="12" t="inlineStr">
        <is>
          <t>DDL は Proxy を通さず、セッションで短く設定して実行</t>
        </is>
      </c>
    </row>
    <row r="23" ht="52" customHeight="1">
      <c r="B23" s="13" t="inlineStr">
        <is>
          <t>2015</t>
        </is>
      </c>
      <c r="C23" s="9" t="inlineStr">
        <is>
          <t>API Gateway 一般提供（統合タイムアウト上限29秒）。MySQL 5.7.8 で max_execution_time</t>
        </is>
      </c>
      <c r="D23" s="9" t="inlineStr">
        <is>
          <t>共有のマネージドゲートウェイを守るため短い上限。SELECT の暴走防止</t>
        </is>
      </c>
      <c r="E23" s="9" t="inlineStr">
        <is>
          <t>インターネット／Salesforce 経路は29秒が天井。SQLヒントで経路別の上限</t>
        </is>
      </c>
    </row>
    <row r="24" ht="37" customHeight="1">
      <c r="B24" s="14" t="inlineStr">
        <is>
          <t>2015</t>
        </is>
      </c>
      <c r="C24" s="12" t="inlineStr">
        <is>
          <t>「Exponential Backoff And Jitter」（AWS Architecture Blog）</t>
        </is>
      </c>
      <c r="D24" s="12" t="inlineStr">
        <is>
          <t>タイムアウト後に全員が同時にやり直す「リトライの嵐」を防ぐ</t>
        </is>
      </c>
      <c r="E24" s="12" t="inlineStr">
        <is>
          <t>リトライは指数バックオフ＋ジッター、回数上限、冪等キー</t>
        </is>
      </c>
    </row>
    <row r="25" ht="52" customHeight="1">
      <c r="B25" s="13" t="inlineStr">
        <is>
          <t>2015〜2016</t>
        </is>
      </c>
      <c r="C25" s="9" t="inlineStr">
        <is>
          <t>Aurora 一般提供（2014発表）、ECS 一般提供、ALB 登場（idle 1〜4000秒）、JBoss EAP 7（Undertow）</t>
        </is>
      </c>
      <c r="D25" s="9" t="inlineStr">
        <is>
          <t>クラウドネイティブなDB・コンテナ・L7負荷分散</t>
        </is>
      </c>
      <c r="E25" s="9" t="inlineStr">
        <is>
          <t>経路ごとの ALB 分割、Undertow のタイマー</t>
        </is>
      </c>
    </row>
    <row r="26" ht="37" customHeight="1">
      <c r="B26" s="14" t="inlineStr">
        <is>
          <t>2017</t>
        </is>
      </c>
      <c r="C26" s="12" t="inlineStr">
        <is>
          <t>API Gateway VPC Link（NLB 経由）、Fargate</t>
        </is>
      </c>
      <c r="D26" s="12" t="inlineStr">
        <is>
          <t>API Gateway から VPC 内への私設連携</t>
        </is>
      </c>
      <c r="E26" s="12" t="inlineStr">
        <is>
          <t>かつては API Gateway → NLB → ALB の2段構えが必要だった</t>
        </is>
      </c>
    </row>
    <row r="27" ht="52" customHeight="1">
      <c r="B27" s="13" t="inlineStr">
        <is>
          <t>2019 / 2020</t>
        </is>
      </c>
      <c r="C27" s="9" t="inlineStr">
        <is>
          <t>RDS Proxy プレビュー（2019年12月）→ 一般提供（2020年6月）。HTTP API 一般提供（VPC Link v2 で ALB 直結）</t>
        </is>
      </c>
      <c r="D27" s="9" t="inlineStr">
        <is>
          <t>Lambda 等による「接続の嵐」、フェイルオーバー時間の短縮</t>
        </is>
      </c>
      <c r="E27" s="9" t="inlineStr">
        <is>
          <t>ConnectionBorrowTimeout、IdleClientTimeout、ピン留め</t>
        </is>
      </c>
    </row>
    <row r="28" ht="37" customHeight="1">
      <c r="B28" s="14" t="inlineStr">
        <is>
          <t>2022</t>
        </is>
      </c>
      <c r="C28" s="12" t="inlineStr">
        <is>
          <t>Aurora Serverless v2 一般提供</t>
        </is>
      </c>
      <c r="D28" s="12" t="inlineStr">
        <is>
          <t>負荷に応じて秒単位で自動スケール</t>
        </is>
      </c>
      <c r="E28" s="12" t="inlineStr">
        <is>
          <t>容量が追いつかない間の遅延が、タイムアウトの引き金になりうる</t>
        </is>
      </c>
    </row>
    <row r="29" ht="82" customHeight="1">
      <c r="B29" s="13" t="inlineStr">
        <is>
          <t>2024</t>
        </is>
      </c>
      <c r="C29" s="9" t="inlineStr">
        <is>
          <t>2月：JBoss EAP 8.0（Jakarta EE 10）。6月：Regional／Private の REST API で統合タイムアウト29秒超を許可（スロットル枠と引換え）。11月：Aurora Serverless v2 の 0 ACU 自動一時停止</t>
        </is>
      </c>
      <c r="D29" s="9" t="inlineStr">
        <is>
          <t>生成AIなど長時間処理の需要、コスト最適化</t>
        </is>
      </c>
      <c r="E29" s="9" t="inlineStr">
        <is>
          <t>P3（API Gateway 延長型）の根拠。RDS Proxy が付いたクラスタは自動一時停止しない</t>
        </is>
      </c>
    </row>
    <row r="30" ht="67" customHeight="1">
      <c r="B30" s="14" t="inlineStr">
        <is>
          <t>2025</t>
        </is>
      </c>
      <c r="C30" s="12" t="inlineStr">
        <is>
          <t>11月：REST API のレスポンスストリーミング（最大15分）、REST API で VPC Link v2 による ALB 直結（NLB 不要）。JBoss EAP 8.1</t>
        </is>
      </c>
      <c r="D30" s="12" t="inlineStr">
        <is>
          <t>構成の簡素化、長時間応答</t>
        </is>
      </c>
      <c r="E30" s="12" t="inlineStr">
        <is>
          <t>本構成の「API Gateway → VPC Link v2 → ALB」の前提</t>
        </is>
      </c>
    </row>
    <row r="31" ht="52" customHeight="1">
      <c r="B31" s="13" t="inlineStr">
        <is>
          <t>2026（現在）</t>
        </is>
      </c>
      <c r="C31" s="9" t="inlineStr">
        <is>
          <t>JBoss EAP 8.0 は 8.0 Update 12 で更新終了予定、8.1 系へ移行。Aurora MySQL は 8.0 互換に加え 8.4 互換系も提供</t>
        </is>
      </c>
      <c r="D31" s="9" t="inlineStr">
        <is>
          <t>—</t>
        </is>
      </c>
      <c r="E31" s="9" t="inlineStr">
        <is>
          <t>本書の数値は2026年10月時点の公開情報にもとづく</t>
        </is>
      </c>
    </row>
    <row r="32" ht="10" customHeight="1"/>
    <row r="33" ht="24" customHeight="1">
      <c r="B33" s="5" t="inlineStr">
        <is>
          <t xml:space="preserve">　背景のまとめ：タイムアウトが「増えてきた」3つの理由</t>
        </is>
      </c>
    </row>
    <row r="34" ht="4" customHeight="1"/>
    <row r="35" ht="23" customHeight="1">
      <c r="B35" s="6" t="inlineStr">
        <is>
          <t>理由</t>
        </is>
      </c>
      <c r="C35" s="6" t="inlineStr">
        <is>
          <t>説明</t>
        </is>
      </c>
      <c r="D35" s="6" t="inlineStr">
        <is>
          <t>今回の構成での現れ方</t>
        </is>
      </c>
      <c r="E35" s="8" t="n"/>
    </row>
    <row r="36" ht="67" customHeight="1">
      <c r="B36" s="13" t="inlineStr">
        <is>
          <t>① 使い回しの登場</t>
        </is>
      </c>
      <c r="C36" s="9" t="inlineStr">
        <is>
          <t>接続を毎回作るのは遅いので、つなぎっぱなし（keep-alive）や貸し借り（プール）が生まれた。その結果「いつ切るか」「何秒待って借りるか」のタイマーが必要になった</t>
        </is>
      </c>
      <c r="D36" s="9" t="inlineStr">
        <is>
          <t>ALB idle、Undertow no-request-timeout、JBossプール、RDS Proxy（2段目のプール）</t>
        </is>
      </c>
      <c r="E36" s="11" t="n"/>
    </row>
    <row r="37" ht="67" customHeight="1">
      <c r="B37" s="14" t="inlineStr">
        <is>
          <t>② 部品が増えて層が深くなった</t>
        </is>
      </c>
      <c r="C37" s="12" t="inlineStr">
        <is>
          <t>1台のサーバで完結していた処理が、ゲートウェイ・LB・コンテナ・プロキシ・DBに分かれた。層ごとに独自のタイマーがあり、順番を揃えないと外側だけが諦める</t>
        </is>
      </c>
      <c r="D37" s="12" t="inlineStr">
        <is>
          <t>API Gateway → VPC Link v2 → ALB → JBoss → RDS Proxy → Aurora の6段</t>
        </is>
      </c>
      <c r="E37" s="11" t="n"/>
    </row>
    <row r="38" ht="67" customHeight="1">
      <c r="B38" s="13" t="inlineStr">
        <is>
          <t>③ 共有と保護</t>
        </is>
      </c>
      <c r="C38" s="9" t="inlineStr">
        <is>
          <t>クラウドの部品は多くの利用者で共有されるため、1人が長く占有しないよう上限が決められている（API Gateway 29秒、Salesforce 120秒など）</t>
        </is>
      </c>
      <c r="D38" s="9" t="inlineStr">
        <is>
          <t>29秒・120秒・24時間など、自分では変えられない「天井」がある</t>
        </is>
      </c>
      <c r="E38" s="11" t="n"/>
    </row>
  </sheetData>
  <mergeCells count="10">
    <mergeCell ref="B2:C2"/>
    <mergeCell ref="B1:E1"/>
    <mergeCell ref="B4:E4"/>
    <mergeCell ref="D2:E2"/>
    <mergeCell ref="B6:E6"/>
    <mergeCell ref="D37:E37"/>
    <mergeCell ref="D38:E38"/>
    <mergeCell ref="B33:E33"/>
    <mergeCell ref="D36:E36"/>
    <mergeCell ref="D35:E35"/>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5.xml><?xml version="1.0" encoding="utf-8"?>
<worksheet xmlns="http://schemas.openxmlformats.org/spreadsheetml/2006/main">
  <sheetPr>
    <tabColor rgb="00A6A6A6"/>
    <outlinePr summaryBelow="1" summaryRight="1"/>
    <pageSetUpPr fitToPage="1"/>
  </sheetPr>
  <dimension ref="A1:F101"/>
  <sheetViews>
    <sheetView showGridLines="0" zoomScale="100" workbookViewId="0">
      <selection activeCell="A1" sqref="A1"/>
    </sheetView>
  </sheetViews>
  <sheetFormatPr baseColWidth="8" defaultRowHeight="15"/>
  <cols>
    <col width="2" customWidth="1" min="1" max="1"/>
    <col width="22" customWidth="1" min="2" max="2"/>
    <col width="26" customWidth="1" min="3" max="3"/>
    <col width="28" customWidth="1" min="4" max="4"/>
    <col width="30" customWidth="1" min="5" max="5"/>
    <col width="38" customWidth="1" min="6" max="6"/>
  </cols>
  <sheetData>
    <row r="1" ht="36" customHeight="1">
      <c r="B1" s="1" t="inlineStr">
        <is>
          <t>動作原理：タイムアウトはどう動くか</t>
        </is>
      </c>
      <c r="C1" s="2" t="n"/>
      <c r="D1" s="2" t="n"/>
      <c r="E1" s="2" t="n"/>
      <c r="F1" s="2" t="n"/>
    </row>
    <row r="2" ht="18" customHeight="1">
      <c r="B2" s="20" t="inlineStr">
        <is>
          <t>« 00_表紙（目次）へ戻る</t>
        </is>
      </c>
      <c r="D2" s="21" t="inlineStr">
        <is>
          <t>Aurora Serverless v2 共有構成のタイムアウト設計ガイド　｜　動作原理：タイムアウトはどう動くか</t>
        </is>
      </c>
    </row>
    <row r="3" ht="6" customHeight="1"/>
    <row r="4" ht="21" customHeight="1">
      <c r="B4" s="4" t="inlineStr">
        <is>
          <t>タイムアウトの値を決める前に、「どの時計が、いつ動き出して、いつ止まり、鳴ったら何が起きるか」を理解します。これが分かると、値の大小関係が自然に決まります。</t>
        </is>
      </c>
    </row>
    <row r="5" ht="10" customHeight="1"/>
    <row r="6" ht="24" customHeight="1">
      <c r="B6" s="5" t="inlineStr">
        <is>
          <t xml:space="preserve">　1. タイムアウトの6分類：だれが、何を、いつ測るか</t>
        </is>
      </c>
    </row>
    <row r="7" ht="4" customHeight="1"/>
    <row r="8" ht="38" customHeight="1">
      <c r="B8" s="6" t="inlineStr">
        <is>
          <t>分類</t>
        </is>
      </c>
      <c r="C8" s="6" t="inlineStr">
        <is>
          <t>時計が動き出す瞬間</t>
        </is>
      </c>
      <c r="D8" s="6" t="inlineStr">
        <is>
          <t>時計が止まる（リセットされる）瞬間</t>
        </is>
      </c>
      <c r="E8" s="6" t="inlineStr">
        <is>
          <t>鳴ったときの動作</t>
        </is>
      </c>
      <c r="F8" s="6" t="inlineStr">
        <is>
          <t>本構成の該当パラメータ</t>
        </is>
      </c>
    </row>
    <row r="9" ht="37" customHeight="1">
      <c r="B9" s="13" t="inlineStr">
        <is>
          <t>接続</t>
        </is>
      </c>
      <c r="C9" s="9" t="inlineStr">
        <is>
          <t>TCP接続を開始したとき</t>
        </is>
      </c>
      <c r="D9" s="9" t="inlineStr">
        <is>
          <t>接続（TLS・認証を含む場合あり）が完了したとき</t>
        </is>
      </c>
      <c r="E9" s="9" t="inlineStr">
        <is>
          <t>接続エラー</t>
        </is>
      </c>
      <c r="F9" s="9" t="inlineStr">
        <is>
          <t>Connector/J connectTimeout、Aurora connect_timeout</t>
        </is>
      </c>
    </row>
    <row r="10" ht="67" customHeight="1">
      <c r="B10" s="14" t="inlineStr">
        <is>
          <t>取得・借用</t>
        </is>
      </c>
      <c r="C10" s="12" t="inlineStr">
        <is>
          <t>プールに「接続を貸して」と頼んだとき</t>
        </is>
      </c>
      <c r="D10" s="12" t="inlineStr">
        <is>
          <t>接続を受け取ったとき</t>
        </is>
      </c>
      <c r="E10" s="12" t="inlineStr">
        <is>
          <t>例外（IJ000655／Timed-out waiting to acquire database connection）</t>
        </is>
      </c>
      <c r="F10" s="12" t="inlineStr">
        <is>
          <t>JBoss blocking-timeout-wait-millis、RDS Proxy ConnectionBorrowTimeout、HikariCP connectionTimeout</t>
        </is>
      </c>
    </row>
    <row r="11" ht="67" customHeight="1">
      <c r="B11" s="13" t="inlineStr">
        <is>
          <t>処理・応答</t>
        </is>
      </c>
      <c r="C11" s="9" t="inlineStr">
        <is>
          <t>リクエスト送信、またはトランザクション開始</t>
        </is>
      </c>
      <c r="D11" s="9" t="inlineStr">
        <is>
          <t>応答の受信、またはコミット完了</t>
        </is>
      </c>
      <c r="E11" s="9" t="inlineStr">
        <is>
          <t>504、ロールバック、SQL中断</t>
        </is>
      </c>
      <c r="F11" s="9" t="inlineStr">
        <is>
          <t>API Gateway 統合TO、JTA、query timeout、max_execution_time、innodb_lock_wait_timeout、Salesforce setTimeout</t>
        </is>
      </c>
    </row>
    <row r="12" ht="67" customHeight="1">
      <c r="B12" s="14" t="inlineStr">
        <is>
          <t>アイドル</t>
        </is>
      </c>
      <c r="C12" s="12" t="inlineStr">
        <is>
          <t>最後にデータが流れたとき</t>
        </is>
      </c>
      <c r="D12" s="12" t="inlineStr">
        <is>
          <t>次のデータが流れたとき（そのたびにリセット）</t>
        </is>
      </c>
      <c r="E12" s="12" t="inlineStr">
        <is>
          <t>接続を閉じる（応答待ち中なら504）</t>
        </is>
      </c>
      <c r="F12" s="12" t="inlineStr">
        <is>
          <t>ALB idle、Undertow no-request-timeout、RDS Proxy IdleClientTimeout、JBoss idle-timeout-minutes、wait_timeout</t>
        </is>
      </c>
    </row>
    <row r="13" ht="52" customHeight="1">
      <c r="B13" s="13" t="inlineStr">
        <is>
          <t>寿命</t>
        </is>
      </c>
      <c r="C13" s="9" t="inlineStr">
        <is>
          <t>接続を確立したとき</t>
        </is>
      </c>
      <c r="D13" s="9" t="inlineStr">
        <is>
          <t>（リセットされない）</t>
        </is>
      </c>
      <c r="E13" s="9" t="inlineStr">
        <is>
          <t>接続を閉じる。次に使った人がエラーを見る</t>
        </is>
      </c>
      <c r="F13" s="9" t="inlineStr">
        <is>
          <t>RDS Proxy のクライアント接続24時間（変更不可）、ALB client_keep_alive（既定3600秒）</t>
        </is>
      </c>
    </row>
    <row r="14" ht="37" customHeight="1">
      <c r="B14" s="14" t="inlineStr">
        <is>
          <t>停止猶予</t>
        </is>
      </c>
      <c r="C14" s="12" t="inlineStr">
        <is>
          <t>停止（入れ替え）を始めたとき</t>
        </is>
      </c>
      <c r="D14" s="12" t="inlineStr">
        <is>
          <t>処理中のリクエストが終わったとき</t>
        </is>
      </c>
      <c r="E14" s="12" t="inlineStr">
        <is>
          <t>強制終了</t>
        </is>
      </c>
      <c r="F14" s="12" t="inlineStr">
        <is>
          <t>ALB 登録解除遅延、ECS stopTimeout、JBoss の suspend（グレースフル停止）</t>
        </is>
      </c>
    </row>
    <row r="15" ht="10" customHeight="1"/>
    <row r="16" ht="24" customHeight="1">
      <c r="B16" s="5" t="inlineStr">
        <is>
          <t xml:space="preserve">　2. 原則①「外側ほど長く、内側ほど短く」（マトリョーシカの原則）</t>
        </is>
      </c>
    </row>
    <row r="17" ht="4" customHeight="1"/>
    <row r="18" ht="36" customHeight="1">
      <c r="B18" s="22" t="inlineStr">
        <is>
          <t>リクエストは外側の箱から内側の箱へ入っていきます。どの箱にもタイマーがあります。内側の箱のタイマーが先に鳴れば、内側の部品が後片付け（ロールバック・ロック解放・接続返却）をしてから、理由つきのエラーを外へ返せます。外側のタイマーが先に鳴ると、外側だけが諦め、内側はだれも待っていない仕事を続けます（ゾンビ処理）。</t>
        </is>
      </c>
    </row>
    <row r="19" ht="5" customHeight="1">
      <c r="B19" s="26" t="n"/>
    </row>
    <row r="20" ht="15.5" customHeight="1">
      <c r="B20" s="27" t="inlineStr">
        <is>
          <t>リクエストの向き →（外側）                                                         （内側）</t>
        </is>
      </c>
    </row>
    <row r="21" ht="15.5" customHeight="1">
      <c r="B21" s="27" t="inlineStr">
        <is>
          <t>呼出元 40秒 ＞ API Gateway 29秒 ＞ アプリ期限（JTA）25秒 ＞ SQL上限 20秒 ＞ ロック待ち 10秒</t>
        </is>
      </c>
    </row>
    <row r="22" ht="15.5" customHeight="1">
      <c r="B22" s="27" t="inlineStr">
        <is>
          <t xml:space="preserve">                                   └ プール待ち 3秒 ＋ Proxy借用待ち 10秒 は、この25秒の中に収める</t>
        </is>
      </c>
    </row>
    <row r="23" ht="15.5" customHeight="1">
      <c r="B23" s="27" t="inlineStr">
        <is>
          <t>ALB idle 60秒 と socketTimeout 35秒 は「ふだんは鳴らない安全ベルト」（アプリ期限より長くする）</t>
        </is>
      </c>
    </row>
    <row r="24" ht="5" customHeight="1">
      <c r="B24" s="26" t="n"/>
    </row>
    <row r="25" ht="38" customHeight="1">
      <c r="B25" s="6" t="inlineStr">
        <is>
          <t>状況</t>
        </is>
      </c>
      <c r="C25" s="6" t="inlineStr">
        <is>
          <t>内側が先に鳴る（正しい順序）</t>
        </is>
      </c>
      <c r="D25" s="6" t="inlineStr">
        <is>
          <t>外側が先に鳴る（逆転）</t>
        </is>
      </c>
      <c r="E25" s="7" t="n"/>
      <c r="F25" s="8" t="n"/>
    </row>
    <row r="26" ht="52" customHeight="1">
      <c r="B26" s="13" t="inlineStr">
        <is>
          <t>呼出元が受け取るもの</t>
        </is>
      </c>
      <c r="C26" s="9" t="inlineStr">
        <is>
          <t>業務エラー（例：503＋「混雑のため時間内に処理できませんでした」）</t>
        </is>
      </c>
      <c r="D26" s="9" t="inlineStr">
        <is>
          <t>504 Endpoint request timed out など、理由の分からないエラー</t>
        </is>
      </c>
      <c r="E26" s="10" t="n"/>
      <c r="F26" s="11" t="n"/>
    </row>
    <row r="27" ht="37" customHeight="1">
      <c r="B27" s="14" t="inlineStr">
        <is>
          <t>裏側の処理</t>
        </is>
      </c>
      <c r="C27" s="12" t="inlineStr">
        <is>
          <t>ロールバック済み。ロック・接続も解放済み</t>
        </is>
      </c>
      <c r="D27" s="12" t="inlineStr">
        <is>
          <t>処理が続く。成功すると「エラーを返したのに登録されている」状態</t>
        </is>
      </c>
      <c r="E27" s="10" t="n"/>
      <c r="F27" s="11" t="n"/>
    </row>
    <row r="28" ht="22" customHeight="1">
      <c r="B28" s="13" t="inlineStr">
        <is>
          <t>やり直し（リトライ）</t>
        </is>
      </c>
      <c r="C28" s="9" t="inlineStr">
        <is>
          <t>安全にやり直せる</t>
        </is>
      </c>
      <c r="D28" s="9" t="inlineStr">
        <is>
          <t>続いている処理とぶつかり二重登録・ロック待ちの連鎖</t>
        </is>
      </c>
      <c r="E28" s="10" t="n"/>
      <c r="F28" s="11" t="n"/>
    </row>
    <row r="29" ht="22" customHeight="1">
      <c r="B29" s="14" t="inlineStr">
        <is>
          <t>資源の消費</t>
        </is>
      </c>
      <c r="C29" s="12" t="inlineStr">
        <is>
          <t>期限で頭打ち</t>
        </is>
      </c>
      <c r="D29" s="12" t="inlineStr">
        <is>
          <t>スレッド・接続を握り続け、他のリクエストまで遅くなる</t>
        </is>
      </c>
      <c r="E29" s="10" t="n"/>
      <c r="F29" s="11" t="n"/>
    </row>
    <row r="30" ht="10" customHeight="1"/>
    <row r="31" ht="24" customHeight="1">
      <c r="B31" s="5" t="inlineStr">
        <is>
          <t xml:space="preserve">　3. 原則②「つなぎっぱなしの線は、使う側が先に切る」（アイドルの原則）</t>
        </is>
      </c>
    </row>
    <row r="32" ht="4" customHeight="1"/>
    <row r="33" ht="51" customHeight="1">
      <c r="B33" s="22" t="inlineStr">
        <is>
          <t>keep-alive（持続的接続）やプールの接続は、使う側（クライアント）と待つ側（サーバ）の両方がアイドルのタイマーを持っています。待つ側が先に黙って切ると、使う側は切れたことに気づかずに次のリクエストを送ってしまい、エラーになります（HTTP なら ALB の502、JDBC なら CommunicationsException）。AWS も「アプリケーションのアイドルタイムアウトは ALB より長くする」ことを推奨しています。</t>
        </is>
      </c>
    </row>
    <row r="34" ht="23" customHeight="1">
      <c r="B34" s="6" t="inlineStr">
        <is>
          <t>線（接続）</t>
        </is>
      </c>
      <c r="C34" s="6" t="inlineStr">
        <is>
          <t>使う側（先に切る＝短く）</t>
        </is>
      </c>
      <c r="D34" s="6" t="inlineStr">
        <is>
          <t>待つ側（長く）</t>
        </is>
      </c>
      <c r="E34" s="6" t="inlineStr">
        <is>
          <t>推奨の関係</t>
        </is>
      </c>
      <c r="F34" s="6" t="inlineStr">
        <is>
          <t>逆転すると</t>
        </is>
      </c>
    </row>
    <row r="35" ht="37" customHeight="1">
      <c r="B35" s="13" t="inlineStr">
        <is>
          <t>ALB → JBoss（Undertow）</t>
        </is>
      </c>
      <c r="C35" s="9" t="inlineStr">
        <is>
          <t>ALB（idle 60秒／150秒）</t>
        </is>
      </c>
      <c r="D35" s="9" t="inlineStr">
        <is>
          <t>Undertow no-request-timeout</t>
        </is>
      </c>
      <c r="E35" s="9" t="inlineStr">
        <is>
          <t>Undertow ＞ ALB idle（＋15秒以上）</t>
        </is>
      </c>
      <c r="F35" s="9" t="inlineStr">
        <is>
          <t>間欠的な 502 Bad Gateway</t>
        </is>
      </c>
    </row>
    <row r="36" ht="37" customHeight="1">
      <c r="B36" s="14" t="inlineStr">
        <is>
          <t>JBossプール → RDS Proxy</t>
        </is>
      </c>
      <c r="C36" s="12" t="inlineStr">
        <is>
          <t>JBoss（idle-timeout-minutes）</t>
        </is>
      </c>
      <c r="D36" s="12" t="inlineStr">
        <is>
          <t>RDS Proxy IdleClientTimeout</t>
        </is>
      </c>
      <c r="E36" s="12" t="inlineStr">
        <is>
          <t>プール idle 10分 ＜ IdleClient 30分</t>
        </is>
      </c>
      <c r="F36" s="12" t="inlineStr">
        <is>
          <t>しばらく使っていない接続を掴み、朝一番などに通信エラー</t>
        </is>
      </c>
    </row>
    <row r="37" ht="52" customHeight="1">
      <c r="B37" s="13" t="inlineStr">
        <is>
          <t>JBossプール → RDS Proxy（寿命）</t>
        </is>
      </c>
      <c r="C37" s="9" t="inlineStr">
        <is>
          <t>JBoss</t>
        </is>
      </c>
      <c r="D37" s="9" t="inlineStr">
        <is>
          <t>RDS Proxy（24時間で切断）</t>
        </is>
      </c>
      <c r="E37" s="9" t="inlineStr">
        <is>
          <t>24時間未満で入れ替わるように、接続検証＋ExceptionSorter で不良接続を捨てる</t>
        </is>
      </c>
      <c r="F37" s="9" t="inlineStr">
        <is>
          <t>1日1回程度の通信エラー</t>
        </is>
      </c>
    </row>
    <row r="38" ht="52" customHeight="1">
      <c r="B38" s="14" t="inlineStr">
        <is>
          <t>RDS Proxy → Aurora</t>
        </is>
      </c>
      <c r="C38" s="12" t="inlineStr">
        <is>
          <t>RDS Proxy（5分無通信でアイドル扱い、24時間を超えた未使用接続は閉じる）</t>
        </is>
      </c>
      <c r="D38" s="12" t="inlineStr">
        <is>
          <t>Aurora wait_timeout</t>
        </is>
      </c>
      <c r="E38" s="12" t="inlineStr">
        <is>
          <t>wait_timeout（既定28800秒）≧ IdleClientTimeout</t>
        </is>
      </c>
      <c r="F38" s="12" t="inlineStr">
        <is>
          <t>通常は Proxy が透過的に張り直す</t>
        </is>
      </c>
    </row>
    <row r="39" ht="37" customHeight="1">
      <c r="B39" s="13" t="inlineStr">
        <is>
          <t>呼出元 → ALB</t>
        </is>
      </c>
      <c r="C39" s="9" t="inlineStr">
        <is>
          <t>呼出元</t>
        </is>
      </c>
      <c r="D39" s="9" t="inlineStr">
        <is>
          <t>ALB（client_keep_alive 既定3600秒、idle）</t>
        </is>
      </c>
      <c r="E39" s="9" t="inlineStr">
        <is>
          <t>通常は既定のまま</t>
        </is>
      </c>
      <c r="F39" s="9" t="inlineStr">
        <is>
          <t>ALB は Connection: close／GOAWAY で丁寧に閉じるので問題は少ない</t>
        </is>
      </c>
    </row>
    <row r="40" ht="10" customHeight="1"/>
    <row r="41" ht="24" customHeight="1">
      <c r="B41" s="5" t="inlineStr">
        <is>
          <t xml:space="preserve">　4. 原則③「共有部品の値は1つ」→ リクエスト単位の調整手段</t>
        </is>
      </c>
    </row>
    <row r="42" ht="4" customHeight="1"/>
    <row r="43" ht="23" customHeight="1">
      <c r="B43" s="6" t="inlineStr">
        <is>
          <t>仕組み</t>
        </is>
      </c>
      <c r="C43" s="6" t="inlineStr">
        <is>
          <t>粒度</t>
        </is>
      </c>
      <c r="D43" s="6" t="inlineStr">
        <is>
          <t>使い方</t>
        </is>
      </c>
      <c r="E43" s="6" t="inlineStr">
        <is>
          <t>注意</t>
        </is>
      </c>
      <c r="F43" s="8" t="n"/>
    </row>
    <row r="44" ht="97" customHeight="1">
      <c r="B44" s="13" t="inlineStr">
        <is>
          <t>@TransactionTimeout（org.jboss.ejb3.annotation）／jboss-ejb3.xml の trans-timeout</t>
        </is>
      </c>
      <c r="C44" s="9" t="inlineStr">
        <is>
          <t>EJBメソッド単位</t>
        </is>
      </c>
      <c r="D44" s="9" t="inlineStr">
        <is>
          <t>重いイントラAPIのメソッドだけ120秒にする</t>
        </is>
      </c>
      <c r="E44" s="9" t="inlineStr">
        <is>
          <t>CDI の @Transactional には標準のタイムアウト属性がない → UserTransaction を使う</t>
        </is>
      </c>
      <c r="F44" s="11" t="n"/>
    </row>
    <row r="45" ht="52" customHeight="1">
      <c r="B45" s="14" t="inlineStr">
        <is>
          <t>UserTransaction.setTransactionTimeout(秒)</t>
        </is>
      </c>
      <c r="C45" s="12" t="inlineStr">
        <is>
          <t>トランザクション単位</t>
        </is>
      </c>
      <c r="D45" s="12" t="inlineStr">
        <is>
          <t>begin() の前に呼ぶ</t>
        </is>
      </c>
      <c r="E45" s="12" t="inlineStr">
        <is>
          <t>スレッドに紐づく。0 で既定値に戻る</t>
        </is>
      </c>
      <c r="F45" s="11" t="n"/>
    </row>
    <row r="46" ht="67" customHeight="1">
      <c r="B46" s="13" t="inlineStr">
        <is>
          <t>set-tx-query-timeout＝true</t>
        </is>
      </c>
      <c r="C46" s="9" t="inlineStr">
        <is>
          <t>データソース単位で有効化。値はトランザクションの残り時間</t>
        </is>
      </c>
      <c r="D46" s="9" t="inlineStr">
        <is>
          <t>JTA の残り時間が、各SQLの query timeout に自動で入る（共有データソースでも経路別になる）</t>
        </is>
      </c>
      <c r="E46" s="9" t="inlineStr">
        <is>
          <t>Connector/J のタイムアウトは別接続から KILL QUERY を送る方式。RDS Proxy 経由で確実に止まるかは【要検証】</t>
        </is>
      </c>
      <c r="F46" s="11" t="n"/>
    </row>
    <row r="47" ht="52" customHeight="1">
      <c r="B47" s="14" t="inlineStr">
        <is>
          <t>SQLヒント /*+ MAX_EXECUTION_TIME(ミリ秒) */</t>
        </is>
      </c>
      <c r="C47" s="12" t="inlineStr">
        <is>
          <t>SQL文単位</t>
        </is>
      </c>
      <c r="D47" s="12" t="inlineStr">
        <is>
          <t>経路ごとに SELECT の上限を変える</t>
        </is>
      </c>
      <c r="E47" s="12" t="inlineStr">
        <is>
          <t>SELECT（読み取り）のみ。ピン留め条件として公式に記載があるのは /*! */ 形式の実行可能コメント。念のためピン留めメトリクスで確認</t>
        </is>
      </c>
      <c r="F47" s="11" t="n"/>
    </row>
    <row r="48" ht="52" customHeight="1">
      <c r="B48" s="13" t="inlineStr">
        <is>
          <t>RDS Proxy の InitQuery</t>
        </is>
      </c>
      <c r="C48" s="9" t="inlineStr">
        <is>
          <t>Proxy（ターゲットグループ）単位</t>
        </is>
      </c>
      <c r="D48" s="9" t="inlineStr">
        <is>
          <t>オンライン用は SET innodb_lock_wait_timeout=10、バッチ用は 120</t>
        </is>
      </c>
      <c r="E48" s="9" t="inlineStr">
        <is>
          <t>Proxy を分けて初めて経路別にできる</t>
        </is>
      </c>
      <c r="F48" s="11" t="n"/>
    </row>
    <row r="49" ht="37" customHeight="1">
      <c r="B49" s="14" t="inlineStr">
        <is>
          <t>SET SESSION 変数＝値</t>
        </is>
      </c>
      <c r="C49" s="12" t="inlineStr">
        <is>
          <t>セッション単位</t>
        </is>
      </c>
      <c r="D49" s="12" t="inlineStr">
        <is>
          <t>バッチなど、接続を長く占有する処理だけ</t>
        </is>
      </c>
      <c r="E49" s="12" t="inlineStr">
        <is>
          <t>追跡対象外の変数の SET は RDS Proxy のピン留め要因。オンラインでは避ける</t>
        </is>
      </c>
      <c r="F49" s="11" t="n"/>
    </row>
    <row r="50" ht="10" customHeight="1"/>
    <row r="51" ht="24" customHeight="1">
      <c r="B51" s="5" t="inlineStr">
        <is>
          <t xml:space="preserve">　5. リトルの法則で見る「長いタイムアウトの怖さ」</t>
        </is>
      </c>
    </row>
    <row r="52" ht="4" customHeight="1"/>
    <row r="53" ht="36" customHeight="1">
      <c r="B53" s="22" t="inlineStr">
        <is>
          <t>同時に使われる接続数 L ＝ 到着率 λ（件/秒）× 1件あたりの保持時間 W（秒）。DBが遅くなると W が伸び、同じ件数でも必要な接続数が何倍にも膨らみます。タイムアウトは W の上限を決めることで、L（同時接続・同時スレッド）の上限を決めています。</t>
        </is>
      </c>
    </row>
    <row r="54" ht="23" customHeight="1">
      <c r="B54" s="6" t="inlineStr">
        <is>
          <t>ケース</t>
        </is>
      </c>
      <c r="C54" s="6" t="inlineStr">
        <is>
          <t>λ（件/秒）</t>
        </is>
      </c>
      <c r="D54" s="6" t="inlineStr">
        <is>
          <t>W（秒）</t>
        </is>
      </c>
      <c r="E54" s="6" t="inlineStr">
        <is>
          <t>L（同時接続）</t>
        </is>
      </c>
      <c r="F54" s="6" t="inlineStr">
        <is>
          <t>解説</t>
        </is>
      </c>
    </row>
    <row r="55" ht="37" customHeight="1">
      <c r="B55" s="13" t="inlineStr">
        <is>
          <t>インターネットAPI 平常時</t>
        </is>
      </c>
      <c r="C55" s="23" t="inlineStr">
        <is>
          <t>50</t>
        </is>
      </c>
      <c r="D55" s="23" t="inlineStr">
        <is>
          <t>0.2</t>
        </is>
      </c>
      <c r="E55" s="23" t="inlineStr">
        <is>
          <t>10</t>
        </is>
      </c>
      <c r="F55" s="23" t="inlineStr">
        <is>
          <t>余裕がある</t>
        </is>
      </c>
    </row>
    <row r="56" ht="52" customHeight="1">
      <c r="B56" s="14" t="inlineStr">
        <is>
          <t>インターネットAPI DB遅延（アプリ期限25秒で頭打ち）</t>
        </is>
      </c>
      <c r="C56" s="24" t="inlineStr">
        <is>
          <t>50</t>
        </is>
      </c>
      <c r="D56" s="24" t="inlineStr">
        <is>
          <t>25</t>
        </is>
      </c>
      <c r="E56" s="24" t="inlineStr">
        <is>
          <t>1,250</t>
        </is>
      </c>
      <c r="F56" s="12" t="inlineStr">
        <is>
          <t>プールをすぐ使い切る → プール待ち3秒で素早くエラーを返し、被害を抑える</t>
        </is>
      </c>
    </row>
    <row r="57" ht="52" customHeight="1">
      <c r="B57" s="13" t="inlineStr">
        <is>
          <t>同上、JTA既定300秒・プール待ち既定30秒のまま</t>
        </is>
      </c>
      <c r="C57" s="23" t="inlineStr">
        <is>
          <t>50</t>
        </is>
      </c>
      <c r="D57" s="23" t="inlineStr">
        <is>
          <t>300</t>
        </is>
      </c>
      <c r="E57" s="23" t="inlineStr">
        <is>
          <t>15,000</t>
        </is>
      </c>
      <c r="F57" s="9" t="inlineStr">
        <is>
          <t>全スレッド・全接続が詰まり、同じ部品を使う他経路まで止まる（連鎖障害）</t>
        </is>
      </c>
    </row>
    <row r="58" ht="52" customHeight="1">
      <c r="B58" s="14" t="inlineStr">
        <is>
          <t>イントラAPI（最重）</t>
        </is>
      </c>
      <c r="C58" s="24" t="inlineStr">
        <is>
          <t>2</t>
        </is>
      </c>
      <c r="D58" s="24" t="inlineStr">
        <is>
          <t>60</t>
        </is>
      </c>
      <c r="E58" s="24" t="inlineStr">
        <is>
          <t>120</t>
        </is>
      </c>
      <c r="F58" s="12" t="inlineStr">
        <is>
          <t>件数が少なくても大量の接続を長く占有 → 専用のECSサービス・プールに分ける（バルクヘッド）</t>
        </is>
      </c>
    </row>
    <row r="59" ht="4" customHeight="1"/>
    <row r="60" ht="27" customHeight="1">
      <c r="B60" s="15" t="inlineStr">
        <is>
          <r>
            <rPr>
              <rFont val="Meiryo UI"/>
              <b val="1"/>
              <sz val="10"/>
            </rPr>
            <t xml:space="preserve">【ポイント】 </t>
          </r>
          <r>
            <rPr>
              <rFont val="Meiryo UI"/>
              <sz val="10"/>
            </rPr>
            <t>タイムアウトは容量を増やすものではなく、「異常時に被害が広がる上限」を決めるもの。容量（ACU・プールサイズ）は別に見積もる。</t>
          </r>
        </is>
      </c>
      <c r="C60" s="16" t="n"/>
      <c r="D60" s="16" t="n"/>
      <c r="E60" s="16" t="n"/>
      <c r="F60" s="17" t="n"/>
    </row>
    <row r="61" ht="10" customHeight="1"/>
    <row r="62" ht="24" customHeight="1">
      <c r="B62" s="5" t="inlineStr">
        <is>
          <t xml:space="preserve">　6. RDS Proxy の中で起きていること</t>
        </is>
      </c>
    </row>
    <row r="63" ht="4" customHeight="1"/>
    <row r="64" ht="19" customHeight="1">
      <c r="B64" s="25" t="inlineStr">
        <is>
          <t>・クライアント接続（JBoss → Proxy）と DB接続（Proxy → Aurora）は別物。Proxy はトランザクションの切れ目で DB接続を別のクライアントに貸し回す（多重化）。</t>
        </is>
      </c>
    </row>
    <row r="65" ht="34" customHeight="1">
      <c r="B65" s="25" t="inlineStr">
        <is>
          <t>・借用（borrow）はトランザクションの開始時に起きる。DB接続が上限（MaxConnectionsPercent）まで使用中、またはフェイルオーバー中で使えるインスタンスがないとき、ConnectionBorrowTimeout（既定120秒、0〜300秒）まで待つ。</t>
        </is>
      </c>
    </row>
    <row r="66" ht="34" customHeight="1">
      <c r="B66" s="25" t="inlineStr">
        <is>
          <t>・ピン留め（pinning）：セッションの状態を変える操作（追跡対象外の SET、一時テーブル、サーバ側プリペアドステートメント、LOCK TABLES、GET_LOCK、16KB を超える文、/*! */ コメントなど）で、クライアントが DB接続を専有する。多重化が効かなくなり、借用待ちが増える。</t>
        </is>
      </c>
    </row>
    <row r="67" ht="19" customHeight="1">
      <c r="B67" s="25" t="inlineStr">
        <is>
          <t>・Connector/J の既定は useServerPrepStmts=false（プリペアをクライアント側で処理）なのでピン留めされない。true にするとピン留めの原因になる。</t>
        </is>
      </c>
    </row>
    <row r="68" ht="34" customHeight="1">
      <c r="B68" s="25" t="inlineStr">
        <is>
          <t>・追跡される変数（autocommit、セッションの分離レベル、文字セット、sql_mode、time_zone、wait_timeout、net_write_timeout など）は SET してもピン留めされない。</t>
        </is>
      </c>
    </row>
    <row r="69" ht="34" customHeight="1">
      <c r="B69" s="25" t="inlineStr">
        <is>
          <t>・RDS Proxy は各 DB インスタンスへ常に接続を保つため、Aurora Serverless v2 の 0 ACU 自動一時停止は起きない。本構成では「再開待ち約15秒」を接続タイムアウトに見込む必要はない（逆に、一時停止によるコスト削減もできない）。</t>
        </is>
      </c>
    </row>
    <row r="70" ht="34" customHeight="1">
      <c r="B70" s="25" t="inlineStr">
        <is>
          <t>・フェイルオーバー時：Proxy はアイドルなクライアント接続を保ったまま新しいライターへつなぎ替える（DNSの切替を待たない）。処理中のトランザクションは失敗しうるので、アプリ側で冪等なリトライを用意する。</t>
        </is>
      </c>
    </row>
    <row r="71" ht="19" customHeight="1">
      <c r="B71" s="25" t="inlineStr">
        <is>
          <t>・クライアント接続の最長寿命は24時間（変更不可）。アプリ側プールの接続はそれより短く入れ替える。</t>
        </is>
      </c>
    </row>
    <row r="72" ht="10" customHeight="1"/>
    <row r="73" ht="24" customHeight="1">
      <c r="B73" s="5" t="inlineStr">
        <is>
          <t xml:space="preserve">　7. JTA（Narayana）のタイムアウトで起きること</t>
        </is>
      </c>
    </row>
    <row r="74" ht="4" customHeight="1"/>
    <row r="75" ht="23" customHeight="1">
      <c r="B75" s="6" t="inlineStr">
        <is>
          <t>タイミング</t>
        </is>
      </c>
      <c r="C75" s="6" t="inlineStr">
        <is>
          <t>起きること</t>
        </is>
      </c>
      <c r="D75" s="7" t="n"/>
      <c r="E75" s="7" t="n"/>
      <c r="F75" s="8" t="n"/>
    </row>
    <row r="76" ht="22" customHeight="1">
      <c r="B76" s="13" t="inlineStr">
        <is>
          <t>t＝0</t>
        </is>
      </c>
      <c r="C76" s="9" t="inlineStr">
        <is>
          <t>begin()。タイマー開始（default-timeout、または setTransactionTimeout／@TransactionTimeout の値）</t>
        </is>
      </c>
      <c r="D76" s="10" t="n"/>
      <c r="E76" s="10" t="n"/>
      <c r="F76" s="11" t="n"/>
    </row>
    <row r="77" ht="22" customHeight="1">
      <c r="B77" s="14" t="inlineStr">
        <is>
          <t>期限より前</t>
        </is>
      </c>
      <c r="C77" s="12" t="inlineStr">
        <is>
          <t>SQLを実行。set-tx-query-timeout＝true なら、各SQLに「残り時間」が query timeout として設定される</t>
        </is>
      </c>
      <c r="D77" s="10" t="n"/>
      <c r="E77" s="10" t="n"/>
      <c r="F77" s="11" t="n"/>
    </row>
    <row r="78" ht="22" customHeight="1">
      <c r="B78" s="13" t="inlineStr">
        <is>
          <t>t＝期限</t>
        </is>
      </c>
      <c r="C78" s="9" t="inlineStr">
        <is>
          <t>Reaper スレッドが期限切れを検知（ログ ARJUNA012117）。トランザクションを rollback-only にし、ロールバックを試みる</t>
        </is>
      </c>
      <c r="D78" s="10" t="n"/>
      <c r="E78" s="10" t="n"/>
      <c r="F78" s="11" t="n"/>
    </row>
    <row r="79" ht="37" customHeight="1">
      <c r="B79" s="14" t="inlineStr">
        <is>
          <t>期限の後</t>
        </is>
      </c>
      <c r="C79" s="12" t="inlineStr">
        <is>
          <t>アプリのスレッドは止められない（割り込みはしない）。次のSQLや commit() で例外（RollbackException など）。実行中のSQLは、query timeout がないとDB側で走り続けることがある</t>
        </is>
      </c>
      <c r="D79" s="10" t="n"/>
      <c r="E79" s="10" t="n"/>
      <c r="F79" s="11" t="n"/>
    </row>
    <row r="80" ht="37" customHeight="1">
      <c r="B80" s="13" t="inlineStr">
        <is>
          <t>XA の場合</t>
        </is>
      </c>
      <c r="C80" s="9" t="inlineStr">
        <is>
          <t>2相コミットの途中（PREPARE後）でタスクが落ちると in-doubt（宙ぶらりん）。Narayana のリカバリ（定期実行）がトランザクションログを元に解決する。ログが消えていると解決できず、ロックが残る</t>
        </is>
      </c>
      <c r="D80" s="10" t="n"/>
      <c r="E80" s="10" t="n"/>
      <c r="F80" s="11" t="n"/>
    </row>
    <row r="81" ht="4" customHeight="1"/>
    <row r="82" ht="42" customHeight="1">
      <c r="B82" s="15" t="inlineStr">
        <is>
          <r>
            <rPr>
              <rFont val="Meiryo UI"/>
              <b val="1"/>
              <sz val="10"/>
            </rPr>
            <t xml:space="preserve">【ポイント】 </t>
          </r>
          <r>
            <rPr>
              <rFont val="Meiryo UI"/>
              <sz val="10"/>
            </rPr>
            <t>JTA のタイムアウトは「答案の回収」であって「鉛筆を取り上げる」ものではない。SQL を止めるのは query timeout／max_execution_time／innodb_lock_wait_timeout／socketTimeout の役目。だから多段で設定する。</t>
          </r>
        </is>
      </c>
      <c r="C82" s="16" t="n"/>
      <c r="D82" s="16" t="n"/>
      <c r="E82" s="16" t="n"/>
      <c r="F82" s="17" t="n"/>
    </row>
    <row r="83" ht="10" customHeight="1"/>
    <row r="84" ht="24" customHeight="1">
      <c r="B84" s="5" t="inlineStr">
        <is>
          <t xml:space="preserve">　8. どのタイマーが鳴ると、呼出元に何が返るか</t>
        </is>
      </c>
    </row>
    <row r="85" ht="4" customHeight="1"/>
    <row r="86" ht="23" customHeight="1">
      <c r="B86" s="6" t="inlineStr">
        <is>
          <t>鳴ったタイマー</t>
        </is>
      </c>
      <c r="C86" s="6" t="inlineStr">
        <is>
          <t>呼出元が受け取るもの</t>
        </is>
      </c>
      <c r="D86" s="6" t="inlineStr">
        <is>
          <t>ログ・メトリクスの手掛かり</t>
        </is>
      </c>
      <c r="E86" s="7" t="n"/>
      <c r="F86" s="8" t="n"/>
    </row>
    <row r="87" ht="52" customHeight="1">
      <c r="B87" s="13" t="inlineStr">
        <is>
          <t>API Gateway 統合タイムアウト</t>
        </is>
      </c>
      <c r="C87" s="9" t="inlineStr">
        <is>
          <t>HTTP 504（本文 message: Endpoint request timed out）</t>
        </is>
      </c>
      <c r="D87" s="9" t="inlineStr">
        <is>
          <t>API Gateway の IntegrationLatency が上限付近、5XXError</t>
        </is>
      </c>
      <c r="E87" s="10" t="n"/>
      <c r="F87" s="11" t="n"/>
    </row>
    <row r="88" ht="37" customHeight="1">
      <c r="B88" s="14" t="inlineStr">
        <is>
          <t>ALB idle（応答なし）</t>
        </is>
      </c>
      <c r="C88" s="12" t="inlineStr">
        <is>
          <t>HTTP 504（ALB が生成）</t>
        </is>
      </c>
      <c r="D88" s="12" t="inlineStr">
        <is>
          <t>HTTPCode_ELB_504_Count</t>
        </is>
      </c>
      <c r="E88" s="10" t="n"/>
      <c r="F88" s="11" t="n"/>
    </row>
    <row r="89" ht="37" customHeight="1">
      <c r="B89" s="13" t="inlineStr">
        <is>
          <t>Undertow が先に keep-alive を切った</t>
        </is>
      </c>
      <c r="C89" s="9" t="inlineStr">
        <is>
          <t>HTTP 502（間欠的）</t>
        </is>
      </c>
      <c r="D89" s="9" t="inlineStr">
        <is>
          <t>HTTPCode_ELB_502_Count</t>
        </is>
      </c>
      <c r="E89" s="10" t="n"/>
      <c r="F89" s="11" t="n"/>
    </row>
    <row r="90" ht="22" customHeight="1">
      <c r="B90" s="14" t="inlineStr">
        <is>
          <t>健全なターゲットがない</t>
        </is>
      </c>
      <c r="C90" s="12" t="inlineStr">
        <is>
          <t>HTTP 503</t>
        </is>
      </c>
      <c r="D90" s="12" t="inlineStr">
        <is>
          <t>HTTPCode_ELB_503_Count、HealthyHostCount</t>
        </is>
      </c>
      <c r="E90" s="10" t="n"/>
      <c r="F90" s="11" t="n"/>
    </row>
    <row r="91" ht="52" customHeight="1">
      <c r="B91" s="13" t="inlineStr">
        <is>
          <t>JTA</t>
        </is>
      </c>
      <c r="C91" s="9" t="inlineStr">
        <is>
          <t>アプリが変換したエラー（推奨：503＋Retry-After、または業務エラーコード）</t>
        </is>
      </c>
      <c r="D91" s="9" t="inlineStr">
        <is>
          <t>ARJUNA012117、number-of-timed-out-transactions</t>
        </is>
      </c>
      <c r="E91" s="10" t="n"/>
      <c r="F91" s="11" t="n"/>
    </row>
    <row r="92" ht="37" customHeight="1">
      <c r="B92" s="14" t="inlineStr">
        <is>
          <t>JBoss プール待ち</t>
        </is>
      </c>
      <c r="C92" s="12" t="inlineStr">
        <is>
          <t>アプリが変換したエラー（推奨：503）</t>
        </is>
      </c>
      <c r="D92" s="12" t="inlineStr">
        <is>
          <t>IJ000453／IJ000655、データソース統計の TimedOut・WaitCount</t>
        </is>
      </c>
      <c r="E92" s="10" t="n"/>
      <c r="F92" s="11" t="n"/>
    </row>
    <row r="93" ht="67" customHeight="1">
      <c r="B93" s="13" t="inlineStr">
        <is>
          <t>RDS Proxy 借用待ち</t>
        </is>
      </c>
      <c r="C93" s="9" t="inlineStr">
        <is>
          <t>SQLException（Timed-out waiting to acquire database connection）</t>
        </is>
      </c>
      <c r="D93" s="9" t="inlineStr">
        <is>
          <t>DatabaseConnectionsBorrowLatency</t>
        </is>
      </c>
      <c r="E93" s="10" t="n"/>
      <c r="F93" s="11" t="n"/>
    </row>
    <row r="94" ht="82" customHeight="1">
      <c r="B94" s="14" t="inlineStr">
        <is>
          <t>JDBC query timeout</t>
        </is>
      </c>
      <c r="C94" s="12" t="inlineStr">
        <is>
          <t>MySQLTimeoutException（Statement cancellation due to timeout or client request）</t>
        </is>
      </c>
      <c r="D94" s="12" t="inlineStr">
        <is>
          <t>アプリログ</t>
        </is>
      </c>
      <c r="E94" s="10" t="n"/>
      <c r="F94" s="11" t="n"/>
    </row>
    <row r="95" ht="52" customHeight="1">
      <c r="B95" s="13" t="inlineStr">
        <is>
          <t>max_execution_time</t>
        </is>
      </c>
      <c r="C95" s="9" t="inlineStr">
        <is>
          <t>ERROR 3024（maximum statement execution time exceeded）</t>
        </is>
      </c>
      <c r="D95" s="9" t="inlineStr">
        <is>
          <t>アプリログ、スロークエリログ</t>
        </is>
      </c>
      <c r="E95" s="10" t="n"/>
      <c r="F95" s="11" t="n"/>
    </row>
    <row r="96" ht="52" customHeight="1">
      <c r="B96" s="14" t="inlineStr">
        <is>
          <t>innodb_lock_wait_timeout</t>
        </is>
      </c>
      <c r="C96" s="12" t="inlineStr">
        <is>
          <t>ERROR 1205（既定では「その文だけ」ロールバック。トランザクション全体ではない）</t>
        </is>
      </c>
      <c r="D96" s="12" t="inlineStr">
        <is>
          <t>BlockedTransactions、ロック系の待機イベント</t>
        </is>
      </c>
      <c r="E96" s="10" t="n"/>
      <c r="F96" s="11" t="n"/>
    </row>
    <row r="97" ht="37" customHeight="1">
      <c r="B97" s="13" t="inlineStr">
        <is>
          <t>デッドロック検出</t>
        </is>
      </c>
      <c r="C97" s="9" t="inlineStr">
        <is>
          <t>ERROR 1213（トランザクション全体がロールバック）</t>
        </is>
      </c>
      <c r="D97" s="9" t="inlineStr">
        <is>
          <t>Deadlocks</t>
        </is>
      </c>
      <c r="E97" s="10" t="n"/>
      <c r="F97" s="11" t="n"/>
    </row>
    <row r="98" ht="67" customHeight="1">
      <c r="B98" s="14" t="inlineStr">
        <is>
          <t>socketTimeout</t>
        </is>
      </c>
      <c r="C98" s="12" t="inlineStr">
        <is>
          <t>CommunicationsException／SocketTimeoutException（接続は破棄）</t>
        </is>
      </c>
      <c r="D98" s="12" t="inlineStr">
        <is>
          <t>アプリログ</t>
        </is>
      </c>
      <c r="E98" s="10" t="n"/>
      <c r="F98" s="11" t="n"/>
    </row>
    <row r="99" ht="37" customHeight="1">
      <c r="B99" s="13" t="inlineStr">
        <is>
          <t>Salesforce 側のタイムアウト</t>
        </is>
      </c>
      <c r="C99" s="9" t="inlineStr">
        <is>
          <t>System.CalloutException（Read timed out）</t>
        </is>
      </c>
      <c r="D99" s="9" t="inlineStr">
        <is>
          <t>Salesforce のデバッグログ</t>
        </is>
      </c>
      <c r="E99" s="10" t="n"/>
      <c r="F99" s="11" t="n"/>
    </row>
    <row r="100" ht="4" customHeight="1"/>
    <row r="101" ht="42" customHeight="1">
      <c r="B101" s="15" t="inlineStr">
        <is>
          <r>
            <rPr>
              <rFont val="Meiryo UI"/>
              <b val="1"/>
              <sz val="10"/>
            </rPr>
            <t xml:space="preserve">【注意】 </t>
          </r>
          <r>
            <rPr>
              <rFont val="Meiryo UI"/>
              <sz val="10"/>
            </rPr>
            <t>ERROR 1205 は既定（innodb_rollback_on_timeout=OFF）では最後の文だけが取り消され、トランザクションは開いたまま。アプリは必ずトランザクション全体をロールバックすること。</t>
          </r>
        </is>
      </c>
      <c r="C101" s="16" t="n"/>
      <c r="D101" s="16" t="n"/>
      <c r="E101" s="16" t="n"/>
      <c r="F101" s="17" t="n"/>
    </row>
  </sheetData>
  <mergeCells count="64">
    <mergeCell ref="D2:F2"/>
    <mergeCell ref="B4:F4"/>
    <mergeCell ref="E43:F43"/>
    <mergeCell ref="D27:F27"/>
    <mergeCell ref="B16:F16"/>
    <mergeCell ref="B62:F62"/>
    <mergeCell ref="B66:F66"/>
    <mergeCell ref="D97:F97"/>
    <mergeCell ref="B31:F31"/>
    <mergeCell ref="B22:F22"/>
    <mergeCell ref="B71:F71"/>
    <mergeCell ref="E48:F48"/>
    <mergeCell ref="D91:F91"/>
    <mergeCell ref="B18:F18"/>
    <mergeCell ref="E44:F44"/>
    <mergeCell ref="B70:F70"/>
    <mergeCell ref="B21:F21"/>
    <mergeCell ref="D87:F87"/>
    <mergeCell ref="B2:C2"/>
    <mergeCell ref="D28:F28"/>
    <mergeCell ref="C78:F78"/>
    <mergeCell ref="D95:F95"/>
    <mergeCell ref="C77:F77"/>
    <mergeCell ref="D93:F93"/>
    <mergeCell ref="B60:F60"/>
    <mergeCell ref="B67:F67"/>
    <mergeCell ref="B23:F23"/>
    <mergeCell ref="B1:F1"/>
    <mergeCell ref="D92:F92"/>
    <mergeCell ref="B101:F101"/>
    <mergeCell ref="D25:F25"/>
    <mergeCell ref="B53:F53"/>
    <mergeCell ref="B82:F82"/>
    <mergeCell ref="B73:F73"/>
    <mergeCell ref="D89:F89"/>
    <mergeCell ref="D29:F29"/>
    <mergeCell ref="B69:F69"/>
    <mergeCell ref="C79:F79"/>
    <mergeCell ref="E46:F46"/>
    <mergeCell ref="D98:F98"/>
    <mergeCell ref="D94:F94"/>
    <mergeCell ref="E49:F49"/>
    <mergeCell ref="B19:F19"/>
    <mergeCell ref="E45:F45"/>
    <mergeCell ref="D88:F88"/>
    <mergeCell ref="D26:F26"/>
    <mergeCell ref="B84:F84"/>
    <mergeCell ref="B65:F65"/>
    <mergeCell ref="B68:F68"/>
    <mergeCell ref="D99:F99"/>
    <mergeCell ref="C80:F80"/>
    <mergeCell ref="C75:F75"/>
    <mergeCell ref="B6:F6"/>
    <mergeCell ref="B24:F24"/>
    <mergeCell ref="D90:F90"/>
    <mergeCell ref="B20:F20"/>
    <mergeCell ref="B64:F64"/>
    <mergeCell ref="B33:F33"/>
    <mergeCell ref="B51:F51"/>
    <mergeCell ref="D96:F96"/>
    <mergeCell ref="D86:F86"/>
    <mergeCell ref="B41:F41"/>
    <mergeCell ref="E47:F47"/>
    <mergeCell ref="C76:F76"/>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6.xml><?xml version="1.0" encoding="utf-8"?>
<worksheet xmlns="http://schemas.openxmlformats.org/spreadsheetml/2006/main">
  <sheetPr>
    <tabColor rgb="00A6A6A6"/>
    <outlinePr summaryBelow="1" summaryRight="1"/>
    <pageSetUpPr fitToPage="1"/>
  </sheetPr>
  <dimension ref="A1:J4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28" customWidth="1" min="3" max="3"/>
    <col width="8" customWidth="1" min="4" max="4"/>
    <col width="16" customWidth="1" min="5" max="5"/>
    <col width="24" customWidth="1" min="6" max="6"/>
    <col width="18" customWidth="1" min="7" max="7"/>
    <col width="26" customWidth="1" min="8" max="8"/>
    <col width="26" customWidth="1" min="9" max="9"/>
    <col width="38" customWidth="1" min="10" max="10"/>
  </cols>
  <sheetData>
    <row r="1" ht="36" customHeight="1">
      <c r="B1" s="1" t="inlineStr">
        <is>
          <t>パラメータ辞典：各レイヤのタイムアウト一覧</t>
        </is>
      </c>
      <c r="C1" s="2" t="n"/>
      <c r="D1" s="2" t="n"/>
      <c r="E1" s="2" t="n"/>
      <c r="F1" s="2" t="n"/>
      <c r="G1" s="2" t="n"/>
      <c r="H1" s="2" t="n"/>
      <c r="I1" s="2" t="n"/>
      <c r="J1" s="2" t="n"/>
    </row>
    <row r="2" ht="18" customHeight="1">
      <c r="B2" s="20" t="inlineStr">
        <is>
          <t>« 00_表紙（目次）へ戻る</t>
        </is>
      </c>
      <c r="D2" s="21" t="inlineStr">
        <is>
          <t>Aurora Serverless v2 共有構成のタイムアウト設計ガイド　｜　パラメータ辞典：各レイヤのタイムアウト一覧</t>
        </is>
      </c>
    </row>
    <row r="3" ht="6" customHeight="1"/>
    <row r="4" ht="21" customHeight="1">
      <c r="B4" s="4" t="inlineStr">
        <is>
          <t>本構成に登場するタイムアウト関連パラメータの既定値・範囲・適用単位・超えたときの動作・設計の考え方を一覧にしました（上から外側→内側の順）。</t>
        </is>
      </c>
    </row>
    <row r="5" ht="23" customHeight="1">
      <c r="B5" s="6" t="inlineStr">
        <is>
          <t>レイヤ</t>
        </is>
      </c>
      <c r="C5" s="6" t="inlineStr">
        <is>
          <t>パラメータ</t>
        </is>
      </c>
      <c r="D5" s="6" t="inlineStr">
        <is>
          <t>単位</t>
        </is>
      </c>
      <c r="E5" s="6" t="inlineStr">
        <is>
          <t>既定値</t>
        </is>
      </c>
      <c r="F5" s="6" t="inlineStr">
        <is>
          <t>設定範囲</t>
        </is>
      </c>
      <c r="G5" s="6" t="inlineStr">
        <is>
          <t>適用単位</t>
        </is>
      </c>
      <c r="H5" s="6" t="inlineStr">
        <is>
          <t>何を測るか</t>
        </is>
      </c>
      <c r="I5" s="6" t="inlineStr">
        <is>
          <t>超えたとき</t>
        </is>
      </c>
      <c r="J5" s="6" t="inlineStr">
        <is>
          <t>設計の考え方</t>
        </is>
      </c>
    </row>
    <row r="6" ht="52" customHeight="1">
      <c r="B6" s="13" t="inlineStr">
        <is>
          <t>Salesforce</t>
        </is>
      </c>
      <c r="C6" s="9" t="inlineStr">
        <is>
          <t>HttpRequest.setTimeout</t>
        </is>
      </c>
      <c r="D6" s="9" t="inlineStr">
        <is>
          <t>ms</t>
        </is>
      </c>
      <c r="E6" s="9" t="inlineStr">
        <is>
          <t>10,000</t>
        </is>
      </c>
      <c r="F6" s="9" t="inlineStr">
        <is>
          <t>1〜120,000（1 Apex トランザクションの累計も120秒）</t>
        </is>
      </c>
      <c r="G6" s="9" t="inlineStr">
        <is>
          <t>コールアウト単位</t>
        </is>
      </c>
      <c r="H6" s="9" t="inlineStr">
        <is>
          <t>応答待ち</t>
        </is>
      </c>
      <c r="I6" s="9" t="inlineStr">
        <is>
          <t>System.CalloutException</t>
        </is>
      </c>
      <c r="J6" s="9" t="inlineStr">
        <is>
          <t>API Gateway 統合TO＋余裕（例：40秒）。冪等キー必須</t>
        </is>
      </c>
    </row>
    <row r="7" ht="37" customHeight="1">
      <c r="B7" s="14" t="inlineStr">
        <is>
          <t>呼出元（一般）</t>
        </is>
      </c>
      <c r="C7" s="12" t="inlineStr">
        <is>
          <t>HTTPクライアントの読み取りタイムアウト</t>
        </is>
      </c>
      <c r="D7" s="12" t="inlineStr">
        <is>
          <t>秒</t>
        </is>
      </c>
      <c r="E7" s="12" t="inlineStr">
        <is>
          <t>ライブラリ依存（無制限が多い）</t>
        </is>
      </c>
      <c r="F7" s="12" t="inlineStr">
        <is>
          <t>—</t>
        </is>
      </c>
      <c r="G7" s="12" t="inlineStr">
        <is>
          <t>クライアント</t>
        </is>
      </c>
      <c r="H7" s="12" t="inlineStr">
        <is>
          <t>応答待ち</t>
        </is>
      </c>
      <c r="I7" s="12" t="inlineStr">
        <is>
          <t>クライアント側エラー</t>
        </is>
      </c>
      <c r="J7" s="12" t="inlineStr">
        <is>
          <t>必ず明示する。外側として最も長く</t>
        </is>
      </c>
    </row>
    <row r="8" ht="37" customHeight="1">
      <c r="B8" s="13" t="inlineStr">
        <is>
          <t>CloudFront（任意）</t>
        </is>
      </c>
      <c r="C8" s="9" t="inlineStr">
        <is>
          <t>オリジン応答タイムアウト</t>
        </is>
      </c>
      <c r="D8" s="9" t="inlineStr">
        <is>
          <t>秒</t>
        </is>
      </c>
      <c r="E8" s="9" t="inlineStr">
        <is>
          <t>30</t>
        </is>
      </c>
      <c r="F8" s="9" t="inlineStr">
        <is>
          <t>1〜60（申請で最大180）</t>
        </is>
      </c>
      <c r="G8" s="9" t="inlineStr">
        <is>
          <t>オリジン単位</t>
        </is>
      </c>
      <c r="H8" s="9" t="inlineStr">
        <is>
          <t>オリジンの応答待ち</t>
        </is>
      </c>
      <c r="I8" s="9" t="inlineStr">
        <is>
          <t>504</t>
        </is>
      </c>
      <c r="J8" s="9" t="inlineStr">
        <is>
          <t>API Gateway の前に置く場合は API Gateway の統合TO以上</t>
        </is>
      </c>
    </row>
    <row r="9" ht="67" customHeight="1">
      <c r="B9" s="14" t="inlineStr">
        <is>
          <t>API Gateway（REST）</t>
        </is>
      </c>
      <c r="C9" s="12" t="inlineStr">
        <is>
          <t>統合タイムアウト timeoutInMillis</t>
        </is>
      </c>
      <c r="D9" s="12" t="inlineStr">
        <is>
          <t>ms</t>
        </is>
      </c>
      <c r="E9" s="12" t="inlineStr">
        <is>
          <t>29,000</t>
        </is>
      </c>
      <c r="F9" s="12" t="inlineStr">
        <is>
          <t>50〜29,000。Regional／Private は申請で引上げ可（スロットル枠が下がる場合あり）。Edge最適化は不可</t>
        </is>
      </c>
      <c r="G9" s="12" t="inlineStr">
        <is>
          <t>メソッド（統合）単位</t>
        </is>
      </c>
      <c r="H9" s="12" t="inlineStr">
        <is>
          <t>バックエンドの応答待ち</t>
        </is>
      </c>
      <c r="I9" s="12" t="inlineStr">
        <is>
          <t>504（Endpoint request timed out）</t>
        </is>
      </c>
      <c r="J9" s="12" t="inlineStr">
        <is>
          <t>アプリ期限＋4秒程度</t>
        </is>
      </c>
    </row>
    <row r="10" ht="37" customHeight="1">
      <c r="B10" s="13" t="inlineStr">
        <is>
          <t>API Gateway（REST）</t>
        </is>
      </c>
      <c r="C10" s="9" t="inlineStr">
        <is>
          <t>レスポンスストリーミング（STREAM）</t>
        </is>
      </c>
      <c r="D10" s="9" t="inlineStr">
        <is>
          <t>—</t>
        </is>
      </c>
      <c r="E10" s="9" t="inlineStr">
        <is>
          <t>無効</t>
        </is>
      </c>
      <c r="F10" s="9" t="inlineStr">
        <is>
          <t>最大15分</t>
        </is>
      </c>
      <c r="G10" s="9" t="inlineStr">
        <is>
          <t>統合単位</t>
        </is>
      </c>
      <c r="H10" s="9" t="inlineStr">
        <is>
          <t>ストリーム応答</t>
        </is>
      </c>
      <c r="I10" s="9" t="inlineStr">
        <is>
          <t>—</t>
        </is>
      </c>
      <c r="J10" s="9" t="inlineStr">
        <is>
          <t>同期で長い処理の逃げ道。ただしバックエンドが逐次送信に対応している必要がある</t>
        </is>
      </c>
    </row>
    <row r="11" ht="52" customHeight="1">
      <c r="B11" s="14" t="inlineStr">
        <is>
          <t>API Gateway（HTTP API）</t>
        </is>
      </c>
      <c r="C11" s="12" t="inlineStr">
        <is>
          <t>統合タイムアウト</t>
        </is>
      </c>
      <c r="D11" s="12" t="inlineStr">
        <is>
          <t>ms</t>
        </is>
      </c>
      <c r="E11" s="12" t="inlineStr">
        <is>
          <t>30,000</t>
        </is>
      </c>
      <c r="F11" s="12" t="inlineStr">
        <is>
          <t>50〜30,000（引上げ不可）</t>
        </is>
      </c>
      <c r="G11" s="12" t="inlineStr">
        <is>
          <t>ルート単位</t>
        </is>
      </c>
      <c r="H11" s="12" t="inlineStr">
        <is>
          <t>—</t>
        </is>
      </c>
      <c r="I11" s="12" t="inlineStr">
        <is>
          <t>504</t>
        </is>
      </c>
      <c r="J11" s="12" t="inlineStr">
        <is>
          <t>参考（本構成は REST API）</t>
        </is>
      </c>
    </row>
    <row r="12" ht="37" customHeight="1">
      <c r="B12" s="13" t="inlineStr">
        <is>
          <t>VPC Link v2</t>
        </is>
      </c>
      <c r="C12" s="9" t="inlineStr">
        <is>
          <t>（利用者が設定するタイムアウトはない）</t>
        </is>
      </c>
      <c r="D12" s="9" t="inlineStr">
        <is>
          <t>—</t>
        </is>
      </c>
      <c r="E12" s="9" t="inlineStr">
        <is>
          <t>—</t>
        </is>
      </c>
      <c r="F12" s="9" t="inlineStr">
        <is>
          <t>—</t>
        </is>
      </c>
      <c r="G12" s="9" t="inlineStr">
        <is>
          <t>—</t>
        </is>
      </c>
      <c r="H12" s="9" t="inlineStr">
        <is>
          <t>—</t>
        </is>
      </c>
      <c r="I12" s="9" t="inlineStr">
        <is>
          <t>—</t>
        </is>
      </c>
      <c r="J12" s="9" t="inlineStr">
        <is>
          <t>API Gateway の統合タイムアウトで制御する</t>
        </is>
      </c>
    </row>
    <row r="13" ht="52" customHeight="1">
      <c r="B13" s="14" t="inlineStr">
        <is>
          <t>ALB</t>
        </is>
      </c>
      <c r="C13" s="12" t="inlineStr">
        <is>
          <t>idle_timeout.timeout_seconds</t>
        </is>
      </c>
      <c r="D13" s="12" t="inlineStr">
        <is>
          <t>秒</t>
        </is>
      </c>
      <c r="E13" s="12" t="inlineStr">
        <is>
          <t>60</t>
        </is>
      </c>
      <c r="F13" s="12" t="inlineStr">
        <is>
          <t>1〜4,000</t>
        </is>
      </c>
      <c r="G13" s="12" t="inlineStr">
        <is>
          <t>ロードバランサー単位（全リスナー・全TG共通）</t>
        </is>
      </c>
      <c r="H13" s="12" t="inlineStr">
        <is>
          <t>無通信時間（クライアント側・ターゲット側の両方）</t>
        </is>
      </c>
      <c r="I13" s="12" t="inlineStr">
        <is>
          <t>接続を閉じる。応答待ち中なら504</t>
        </is>
      </c>
      <c r="J13" s="12" t="inlineStr">
        <is>
          <t>そのALB上で最も長い正当な応答時間＋30秒（最低60秒）</t>
        </is>
      </c>
    </row>
    <row r="14" ht="37" customHeight="1">
      <c r="B14" s="13" t="inlineStr">
        <is>
          <t>ALB</t>
        </is>
      </c>
      <c r="C14" s="9" t="inlineStr">
        <is>
          <t>client_keep_alive.seconds</t>
        </is>
      </c>
      <c r="D14" s="9" t="inlineStr">
        <is>
          <t>秒</t>
        </is>
      </c>
      <c r="E14" s="9" t="inlineStr">
        <is>
          <t>3,600</t>
        </is>
      </c>
      <c r="F14" s="9" t="inlineStr">
        <is>
          <t>60〜604,800</t>
        </is>
      </c>
      <c r="G14" s="9" t="inlineStr">
        <is>
          <t>ロードバランサー単位</t>
        </is>
      </c>
      <c r="H14" s="9" t="inlineStr">
        <is>
          <t>クライアント接続の寿命</t>
        </is>
      </c>
      <c r="I14" s="9" t="inlineStr">
        <is>
          <t>Connection: close／GOAWAY</t>
        </is>
      </c>
      <c r="J14" s="9" t="inlineStr">
        <is>
          <t>通常は既定のまま</t>
        </is>
      </c>
    </row>
    <row r="15" ht="37" customHeight="1">
      <c r="B15" s="14" t="inlineStr">
        <is>
          <t>ALB ターゲットグループ</t>
        </is>
      </c>
      <c r="C15" s="12" t="inlineStr">
        <is>
          <t>deregistration_delay.timeout_seconds</t>
        </is>
      </c>
      <c r="D15" s="12" t="inlineStr">
        <is>
          <t>秒</t>
        </is>
      </c>
      <c r="E15" s="12" t="inlineStr">
        <is>
          <t>300</t>
        </is>
      </c>
      <c r="F15" s="12" t="inlineStr">
        <is>
          <t>0〜3,600</t>
        </is>
      </c>
      <c r="G15" s="12" t="inlineStr">
        <is>
          <t>ターゲットグループ単位</t>
        </is>
      </c>
      <c r="H15" s="12" t="inlineStr">
        <is>
          <t>登録解除時、処理中リクエストを待つ時間</t>
        </is>
      </c>
      <c r="I15" s="12" t="inlineStr">
        <is>
          <t>残った接続を切断</t>
        </is>
      </c>
      <c r="J15" s="12" t="inlineStr">
        <is>
          <t>そのTGで最も長いリクエスト＋15秒</t>
        </is>
      </c>
    </row>
    <row r="16" ht="37" customHeight="1">
      <c r="B16" s="13" t="inlineStr">
        <is>
          <t>ALB ターゲットグループ</t>
        </is>
      </c>
      <c r="C16" s="9" t="inlineStr">
        <is>
          <t>ヘルスチェック timeout／interval</t>
        </is>
      </c>
      <c r="D16" s="9" t="inlineStr">
        <is>
          <t>秒</t>
        </is>
      </c>
      <c r="E16" s="9" t="inlineStr">
        <is>
          <t>5／30</t>
        </is>
      </c>
      <c r="F16" s="9" t="inlineStr">
        <is>
          <t>timeout 2〜120</t>
        </is>
      </c>
      <c r="G16" s="9" t="inlineStr">
        <is>
          <t>ターゲットグループ単位</t>
        </is>
      </c>
      <c r="H16" s="9" t="inlineStr">
        <is>
          <t>ヘルスチェックの応答</t>
        </is>
      </c>
      <c r="I16" s="9" t="inlineStr">
        <is>
          <t>unhealthy 判定</t>
        </is>
      </c>
      <c r="J16" s="9" t="inlineStr">
        <is>
          <t>DBに触れない軽いエンドポイントにする</t>
        </is>
      </c>
    </row>
    <row r="17" ht="37" customHeight="1">
      <c r="B17" s="14" t="inlineStr">
        <is>
          <t>ECS</t>
        </is>
      </c>
      <c r="C17" s="12" t="inlineStr">
        <is>
          <t>stopTimeout</t>
        </is>
      </c>
      <c r="D17" s="12" t="inlineStr">
        <is>
          <t>秒</t>
        </is>
      </c>
      <c r="E17" s="12" t="inlineStr">
        <is>
          <t>30</t>
        </is>
      </c>
      <c r="F17" s="12" t="inlineStr">
        <is>
          <t>最大120</t>
        </is>
      </c>
      <c r="G17" s="12" t="inlineStr">
        <is>
          <t>コンテナ単位</t>
        </is>
      </c>
      <c r="H17" s="12" t="inlineStr">
        <is>
          <t>SIGTERM 後の猶予</t>
        </is>
      </c>
      <c r="I17" s="12" t="inlineStr">
        <is>
          <t>SIGKILL（強制終了）</t>
        </is>
      </c>
      <c r="J17" s="12" t="inlineStr">
        <is>
          <t>JBoss のグレースフル停止にかかる時間＋余裕</t>
        </is>
      </c>
    </row>
    <row r="18" ht="37" customHeight="1">
      <c r="B18" s="13" t="inlineStr">
        <is>
          <t>ECS</t>
        </is>
      </c>
      <c r="C18" s="9" t="inlineStr">
        <is>
          <t>healthCheckGracePeriodSeconds</t>
        </is>
      </c>
      <c r="D18" s="9" t="inlineStr">
        <is>
          <t>秒</t>
        </is>
      </c>
      <c r="E18" s="9" t="inlineStr">
        <is>
          <t>0</t>
        </is>
      </c>
      <c r="F18" s="9" t="inlineStr">
        <is>
          <t>—</t>
        </is>
      </c>
      <c r="G18" s="9" t="inlineStr">
        <is>
          <t>サービス単位</t>
        </is>
      </c>
      <c r="H18" s="9" t="inlineStr">
        <is>
          <t>起動直後のヘルスチェック猶予</t>
        </is>
      </c>
      <c r="I18" s="9" t="inlineStr">
        <is>
          <t>—</t>
        </is>
      </c>
      <c r="J18" s="9" t="inlineStr">
        <is>
          <t>JBoss の起動時間＋余裕（例：180秒）</t>
        </is>
      </c>
    </row>
    <row r="19" ht="37" customHeight="1">
      <c r="B19" s="14" t="inlineStr">
        <is>
          <t>JBoss Undertow</t>
        </is>
      </c>
      <c r="C19" s="12" t="inlineStr">
        <is>
          <t>no-request-timeout</t>
        </is>
      </c>
      <c r="D19" s="12" t="inlineStr">
        <is>
          <t>ms</t>
        </is>
      </c>
      <c r="E19" s="12" t="inlineStr">
        <is>
          <t>60,000</t>
        </is>
      </c>
      <c r="F19" s="12" t="inlineStr">
        <is>
          <t>—</t>
        </is>
      </c>
      <c r="G19" s="12" t="inlineStr">
        <is>
          <t>HTTPリスナー単位</t>
        </is>
      </c>
      <c r="H19" s="12" t="inlineStr">
        <is>
          <t>keep-alive 接続の無通信時間</t>
        </is>
      </c>
      <c r="I19" s="12" t="inlineStr">
        <is>
          <t>接続を閉じる</t>
        </is>
      </c>
      <c r="J19" s="12" t="inlineStr">
        <is>
          <t>ALB idle＋15秒以上</t>
        </is>
      </c>
    </row>
    <row r="20" ht="67" customHeight="1">
      <c r="B20" s="13" t="inlineStr">
        <is>
          <t>JBoss Undertow</t>
        </is>
      </c>
      <c r="C20" s="9" t="inlineStr">
        <is>
          <t>read-timeout／write-timeout</t>
        </is>
      </c>
      <c r="D20" s="9" t="inlineStr">
        <is>
          <t>ms</t>
        </is>
      </c>
      <c r="E20" s="9" t="inlineStr">
        <is>
          <t>90,000（WildFly 系の既定値。実機で確認）</t>
        </is>
      </c>
      <c r="F20" s="9" t="inlineStr">
        <is>
          <t>—</t>
        </is>
      </c>
      <c r="G20" s="9" t="inlineStr">
        <is>
          <t>HTTPリスナー単位</t>
        </is>
      </c>
      <c r="H20" s="9" t="inlineStr">
        <is>
          <t>ソケットの読み・書きが進まない時間</t>
        </is>
      </c>
      <c r="I20" s="9" t="inlineStr">
        <is>
          <t>Read/WriteTimeoutException</t>
        </is>
      </c>
      <c r="J20" s="9" t="inlineStr">
        <is>
          <t>処理時間の上限ではない。大きなアップロード・ダウンロードで注意</t>
        </is>
      </c>
    </row>
    <row r="21" ht="52" customHeight="1">
      <c r="B21" s="14" t="inlineStr">
        <is>
          <t>JBoss transactions</t>
        </is>
      </c>
      <c r="C21" s="12" t="inlineStr">
        <is>
          <t>default-timeout</t>
        </is>
      </c>
      <c r="D21" s="12" t="inlineStr">
        <is>
          <t>秒</t>
        </is>
      </c>
      <c r="E21" s="12" t="inlineStr">
        <is>
          <t>300</t>
        </is>
      </c>
      <c r="F21" s="12" t="inlineStr">
        <is>
          <t>0〜（0 は maximum-timeout を使用）</t>
        </is>
      </c>
      <c r="G21" s="12" t="inlineStr">
        <is>
          <t>サーバ単位</t>
        </is>
      </c>
      <c r="H21" s="12" t="inlineStr">
        <is>
          <t>トランザクション開始からの経過</t>
        </is>
      </c>
      <c r="I21" s="12" t="inlineStr">
        <is>
          <t>Reaper がロールバック</t>
        </is>
      </c>
      <c r="J21" s="12" t="inlineStr">
        <is>
          <t>経路の「応答期限」。サービス分割ならサーバ既定、共有なら @TransactionTimeout</t>
        </is>
      </c>
    </row>
    <row r="22" ht="52" customHeight="1">
      <c r="B22" s="13" t="inlineStr">
        <is>
          <t>JBoss transactions</t>
        </is>
      </c>
      <c r="C22" s="9" t="inlineStr">
        <is>
          <t>maximum-timeout</t>
        </is>
      </c>
      <c r="D22" s="9" t="inlineStr">
        <is>
          <t>秒</t>
        </is>
      </c>
      <c r="E22" s="9" t="inlineStr">
        <is>
          <t>31,536,000</t>
        </is>
      </c>
      <c r="F22" s="9" t="inlineStr">
        <is>
          <t>300〜</t>
        </is>
      </c>
      <c r="G22" s="9" t="inlineStr">
        <is>
          <t>サーバ単位</t>
        </is>
      </c>
      <c r="H22" s="9" t="inlineStr">
        <is>
          <t>default-timeout＝0 のときの上限</t>
        </is>
      </c>
      <c r="I22" s="9" t="inlineStr">
        <is>
          <t>—</t>
        </is>
      </c>
      <c r="J22" s="9" t="inlineStr">
        <is>
          <t>通常は変更不要</t>
        </is>
      </c>
    </row>
    <row r="23" ht="52" customHeight="1">
      <c r="B23" s="14" t="inlineStr">
        <is>
          <t>JBoss EJB</t>
        </is>
      </c>
      <c r="C23" s="12" t="inlineStr">
        <is>
          <t>@TransactionTimeout／jboss-ejb3.xml trans-timeout</t>
        </is>
      </c>
      <c r="D23" s="12" t="inlineStr">
        <is>
          <t>秒など</t>
        </is>
      </c>
      <c r="E23" s="12" t="inlineStr">
        <is>
          <t>—</t>
        </is>
      </c>
      <c r="F23" s="12" t="inlineStr">
        <is>
          <t>—</t>
        </is>
      </c>
      <c r="G23" s="12" t="inlineStr">
        <is>
          <t>メソッド単位</t>
        </is>
      </c>
      <c r="H23" s="12" t="inlineStr">
        <is>
          <t>同上</t>
        </is>
      </c>
      <c r="I23" s="12" t="inlineStr">
        <is>
          <t>同上</t>
        </is>
      </c>
      <c r="J23" s="12" t="inlineStr">
        <is>
          <t>重いAPIのメソッドだけ長く</t>
        </is>
      </c>
    </row>
    <row r="24" ht="52" customHeight="1">
      <c r="B24" s="13" t="inlineStr">
        <is>
          <t>JBoss データソース</t>
        </is>
      </c>
      <c r="C24" s="9" t="inlineStr">
        <is>
          <t>blocking-timeout-wait-millis（XMLでは blocking-timeout-millis）</t>
        </is>
      </c>
      <c r="D24" s="9" t="inlineStr">
        <is>
          <t>ms</t>
        </is>
      </c>
      <c r="E24" s="9" t="inlineStr">
        <is>
          <t>30,000</t>
        </is>
      </c>
      <c r="F24" s="9" t="inlineStr">
        <is>
          <t>—</t>
        </is>
      </c>
      <c r="G24" s="9" t="inlineStr">
        <is>
          <t>データソース単位</t>
        </is>
      </c>
      <c r="H24" s="9" t="inlineStr">
        <is>
          <t>プールから接続を借りる待ち</t>
        </is>
      </c>
      <c r="I24" s="9" t="inlineStr">
        <is>
          <t>IJ000655</t>
        </is>
      </c>
      <c r="J24" s="9" t="inlineStr">
        <is>
          <t>応答期限の約12%（2〜10秒）。待たせずに早く失敗させる</t>
        </is>
      </c>
    </row>
    <row r="25" ht="67" customHeight="1">
      <c r="B25" s="14" t="inlineStr">
        <is>
          <t>JBoss データソース</t>
        </is>
      </c>
      <c r="C25" s="12" t="inlineStr">
        <is>
          <t>idle-timeout-minutes</t>
        </is>
      </c>
      <c r="D25" s="12" t="inlineStr">
        <is>
          <t>分</t>
        </is>
      </c>
      <c r="E25" s="12" t="inlineStr">
        <is>
          <t>30（IronJacamar の内部既定。実機で確認）</t>
        </is>
      </c>
      <c r="F25" s="12" t="inlineStr">
        <is>
          <t>—</t>
        </is>
      </c>
      <c r="G25" s="12" t="inlineStr">
        <is>
          <t>データソース単位</t>
        </is>
      </c>
      <c r="H25" s="12" t="inlineStr">
        <is>
          <t>プール内のアイドル接続</t>
        </is>
      </c>
      <c r="I25" s="12" t="inlineStr">
        <is>
          <t>接続を閉じる</t>
        </is>
      </c>
      <c r="J25" s="12" t="inlineStr">
        <is>
          <t>IdleClientTimeout（30分）より短く：10分</t>
        </is>
      </c>
    </row>
    <row r="26" ht="37" customHeight="1">
      <c r="B26" s="13" t="inlineStr">
        <is>
          <t>JBoss データソース</t>
        </is>
      </c>
      <c r="C26" s="9" t="inlineStr">
        <is>
          <t>query-timeout</t>
        </is>
      </c>
      <c r="D26" s="9" t="inlineStr">
        <is>
          <t>秒</t>
        </is>
      </c>
      <c r="E26" s="9" t="inlineStr">
        <is>
          <t>なし</t>
        </is>
      </c>
      <c r="F26" s="9" t="inlineStr">
        <is>
          <t>—</t>
        </is>
      </c>
      <c r="G26" s="9" t="inlineStr">
        <is>
          <t>データソース単位</t>
        </is>
      </c>
      <c r="H26" s="9" t="inlineStr">
        <is>
          <t>SQLの実行時間（トランザクション外）</t>
        </is>
      </c>
      <c r="I26" s="9" t="inlineStr">
        <is>
          <t>MySQLTimeoutException</t>
        </is>
      </c>
      <c r="J26" s="9" t="inlineStr">
        <is>
          <t>期限－5秒</t>
        </is>
      </c>
    </row>
    <row r="27" ht="37" customHeight="1">
      <c r="B27" s="14" t="inlineStr">
        <is>
          <t>JBoss データソース</t>
        </is>
      </c>
      <c r="C27" s="12" t="inlineStr">
        <is>
          <t>set-tx-query-timeout</t>
        </is>
      </c>
      <c r="D27" s="12" t="inlineStr">
        <is>
          <t>真偽</t>
        </is>
      </c>
      <c r="E27" s="12" t="inlineStr">
        <is>
          <t>false</t>
        </is>
      </c>
      <c r="F27" s="12" t="inlineStr">
        <is>
          <t>—</t>
        </is>
      </c>
      <c r="G27" s="12" t="inlineStr">
        <is>
          <t>データソース単位</t>
        </is>
      </c>
      <c r="H27" s="12" t="inlineStr">
        <is>
          <t>JTAの残り時間を query timeout に</t>
        </is>
      </c>
      <c r="I27" s="12" t="inlineStr">
        <is>
          <t>同上</t>
        </is>
      </c>
      <c r="J27" s="12" t="inlineStr">
        <is>
          <t>true 推奨（RDS Proxy 経由の中断動作は【要検証】）</t>
        </is>
      </c>
    </row>
    <row r="28" ht="52" customHeight="1">
      <c r="B28" s="13" t="inlineStr">
        <is>
          <t>JBoss データソース</t>
        </is>
      </c>
      <c r="C28" s="9" t="inlineStr">
        <is>
          <t>xa-resource-timeout</t>
        </is>
      </c>
      <c r="D28" s="9" t="inlineStr">
        <is>
          <t>秒</t>
        </is>
      </c>
      <c r="E28" s="9" t="inlineStr">
        <is>
          <t>0</t>
        </is>
      </c>
      <c r="F28" s="9" t="inlineStr">
        <is>
          <t>—</t>
        </is>
      </c>
      <c r="G28" s="9" t="inlineStr">
        <is>
          <t>XAデータソース単位</t>
        </is>
      </c>
      <c r="H28" s="9" t="inlineStr">
        <is>
          <t>XAResource.setTransactionTimeout に渡す値</t>
        </is>
      </c>
      <c r="I28" s="9" t="inlineStr">
        <is>
          <t>—</t>
        </is>
      </c>
      <c r="J28" s="9" t="inlineStr">
        <is>
          <t>MySQL の XA には分岐ごとのタイムアウト設定がないため実質効かない【要検証】。0 のまま JTA 側で管理</t>
        </is>
      </c>
    </row>
    <row r="29" ht="52" customHeight="1">
      <c r="B29" s="14" t="inlineStr">
        <is>
          <t>JBoss データソース</t>
        </is>
      </c>
      <c r="C29" s="12" t="inlineStr">
        <is>
          <t>validate-on-match／background-validation</t>
        </is>
      </c>
      <c r="D29" s="12" t="inlineStr">
        <is>
          <t>真偽／ms</t>
        </is>
      </c>
      <c r="E29" s="12" t="inlineStr">
        <is>
          <t>false／0</t>
        </is>
      </c>
      <c r="F29" s="12" t="inlineStr">
        <is>
          <t>—</t>
        </is>
      </c>
      <c r="G29" s="12" t="inlineStr">
        <is>
          <t>データソース単位</t>
        </is>
      </c>
      <c r="H29" s="12" t="inlineStr">
        <is>
          <t>貸出時・定期の接続検証</t>
        </is>
      </c>
      <c r="I29" s="12" t="inlineStr">
        <is>
          <t>不良接続を破棄</t>
        </is>
      </c>
      <c r="J29" s="12" t="inlineStr">
        <is>
          <t>validate-on-match＝true＋MySQLValidConnectionChecker＋MySQLExceptionSorter</t>
        </is>
      </c>
    </row>
    <row r="30" ht="37" customHeight="1">
      <c r="B30" s="13" t="inlineStr">
        <is>
          <t>MySQL Connector/J</t>
        </is>
      </c>
      <c r="C30" s="9" t="inlineStr">
        <is>
          <t>connectTimeout</t>
        </is>
      </c>
      <c r="D30" s="9" t="inlineStr">
        <is>
          <t>ms</t>
        </is>
      </c>
      <c r="E30" s="9" t="inlineStr">
        <is>
          <t>0（無制限）</t>
        </is>
      </c>
      <c r="F30" s="9" t="inlineStr">
        <is>
          <t>—</t>
        </is>
      </c>
      <c r="G30" s="9" t="inlineStr">
        <is>
          <t>接続URL</t>
        </is>
      </c>
      <c r="H30" s="9" t="inlineStr">
        <is>
          <t>TCP接続の確立</t>
        </is>
      </c>
      <c r="I30" s="9" t="inlineStr">
        <is>
          <t>CommunicationsException</t>
        </is>
      </c>
      <c r="J30" s="9" t="inlineStr">
        <is>
          <t>5秒（バッチ10秒）</t>
        </is>
      </c>
    </row>
    <row r="31" ht="37" customHeight="1">
      <c r="B31" s="14" t="inlineStr">
        <is>
          <t>MySQL Connector/J</t>
        </is>
      </c>
      <c r="C31" s="12" t="inlineStr">
        <is>
          <t>socketTimeout</t>
        </is>
      </c>
      <c r="D31" s="12" t="inlineStr">
        <is>
          <t>ms</t>
        </is>
      </c>
      <c r="E31" s="12" t="inlineStr">
        <is>
          <t>0（無制限）</t>
        </is>
      </c>
      <c r="F31" s="12" t="inlineStr">
        <is>
          <t>—</t>
        </is>
      </c>
      <c r="G31" s="12" t="inlineStr">
        <is>
          <t>接続URL</t>
        </is>
      </c>
      <c r="H31" s="12" t="inlineStr">
        <is>
          <t>ソケットの読み取り待ち</t>
        </is>
      </c>
      <c r="I31" s="12" t="inlineStr">
        <is>
          <t>接続を破棄</t>
        </is>
      </c>
      <c r="J31" s="12" t="inlineStr">
        <is>
          <t>最後の安全ベルト：期限＋10秒。正当な最長SQLより必ず長く</t>
        </is>
      </c>
    </row>
    <row r="32" ht="37" customHeight="1">
      <c r="B32" s="13" t="inlineStr">
        <is>
          <t>MySQL Connector/J</t>
        </is>
      </c>
      <c r="C32" s="9" t="inlineStr">
        <is>
          <t>tcpKeepAlive</t>
        </is>
      </c>
      <c r="D32" s="9" t="inlineStr">
        <is>
          <t>真偽</t>
        </is>
      </c>
      <c r="E32" s="9" t="inlineStr">
        <is>
          <t>true</t>
        </is>
      </c>
      <c r="F32" s="9" t="inlineStr">
        <is>
          <t>—</t>
        </is>
      </c>
      <c r="G32" s="9" t="inlineStr">
        <is>
          <t>接続URL</t>
        </is>
      </c>
      <c r="H32" s="9" t="inlineStr">
        <is>
          <t>OS の TCP keep-alive</t>
        </is>
      </c>
      <c r="I32" s="9" t="inlineStr">
        <is>
          <t>—</t>
        </is>
      </c>
      <c r="J32" s="9" t="inlineStr">
        <is>
          <t>true のまま。OS の送信間隔は通常2時間なので、長時間バッチは OS 設定も確認</t>
        </is>
      </c>
    </row>
    <row r="33" ht="37" customHeight="1">
      <c r="B33" s="14" t="inlineStr">
        <is>
          <t>MySQL Connector/J</t>
        </is>
      </c>
      <c r="C33" s="12" t="inlineStr">
        <is>
          <t>useServerPrepStmts</t>
        </is>
      </c>
      <c r="D33" s="12" t="inlineStr">
        <is>
          <t>真偽</t>
        </is>
      </c>
      <c r="E33" s="12" t="inlineStr">
        <is>
          <t>false</t>
        </is>
      </c>
      <c r="F33" s="12" t="inlineStr">
        <is>
          <t>—</t>
        </is>
      </c>
      <c r="G33" s="12" t="inlineStr">
        <is>
          <t>接続URL</t>
        </is>
      </c>
      <c r="H33" s="12" t="inlineStr">
        <is>
          <t>サーバ側プリペアの使用</t>
        </is>
      </c>
      <c r="I33" s="12" t="inlineStr">
        <is>
          <t>—</t>
        </is>
      </c>
      <c r="J33" s="12" t="inlineStr">
        <is>
          <t>false のまま（true は RDS Proxy のピン留め要因）</t>
        </is>
      </c>
    </row>
    <row r="34" ht="37" customHeight="1">
      <c r="B34" s="13" t="inlineStr">
        <is>
          <t>RDS Proxy</t>
        </is>
      </c>
      <c r="C34" s="9" t="inlineStr">
        <is>
          <t>IdleClientTimeout</t>
        </is>
      </c>
      <c r="D34" s="9" t="inlineStr">
        <is>
          <t>秒</t>
        </is>
      </c>
      <c r="E34" s="9" t="inlineStr">
        <is>
          <t>1,800</t>
        </is>
      </c>
      <c r="F34" s="9" t="inlineStr">
        <is>
          <t>（コンソール上は最大8時間程度。要確認）</t>
        </is>
      </c>
      <c r="G34" s="9" t="inlineStr">
        <is>
          <t>Proxy単位</t>
        </is>
      </c>
      <c r="H34" s="9" t="inlineStr">
        <is>
          <t>クライアント接続の無通信時間</t>
        </is>
      </c>
      <c r="I34" s="9" t="inlineStr">
        <is>
          <t>クライアント接続を閉じる（DB接続はプールに戻る）</t>
        </is>
      </c>
      <c r="J34" s="9" t="inlineStr">
        <is>
          <t>オンライン1,800秒、バッチ7,200秒</t>
        </is>
      </c>
    </row>
    <row r="35" ht="52" customHeight="1">
      <c r="B35" s="14" t="inlineStr">
        <is>
          <t>RDS Proxy</t>
        </is>
      </c>
      <c r="C35" s="12" t="inlineStr">
        <is>
          <t>ConnectionBorrowTimeout</t>
        </is>
      </c>
      <c r="D35" s="12" t="inlineStr">
        <is>
          <t>秒</t>
        </is>
      </c>
      <c r="E35" s="12" t="inlineStr">
        <is>
          <t>120</t>
        </is>
      </c>
      <c r="F35" s="12" t="inlineStr">
        <is>
          <t>0〜300</t>
        </is>
      </c>
      <c r="G35" s="12" t="inlineStr">
        <is>
          <t>ターゲットグループ（≒Proxy）単位</t>
        </is>
      </c>
      <c r="H35" s="12" t="inlineStr">
        <is>
          <t>DB接続の借用待ち（上限到達時・フェイルオーバー中）</t>
        </is>
      </c>
      <c r="I35" s="12" t="inlineStr">
        <is>
          <t>Timed-out waiting to acquire database connection</t>
        </is>
      </c>
      <c r="J35" s="12" t="inlineStr">
        <is>
          <t>オンラインは最短期限の40%（10秒）、バッチは120秒</t>
        </is>
      </c>
    </row>
    <row r="36" ht="52" customHeight="1">
      <c r="B36" s="13" t="inlineStr">
        <is>
          <t>RDS Proxy</t>
        </is>
      </c>
      <c r="C36" s="9" t="inlineStr">
        <is>
          <t>MaxConnectionsPercent／MaxIdleConnectionsPercent</t>
        </is>
      </c>
      <c r="D36" s="9" t="inlineStr">
        <is>
          <t>%</t>
        </is>
      </c>
      <c r="E36" s="9" t="inlineStr">
        <is>
          <t>100／50</t>
        </is>
      </c>
      <c r="F36" s="9" t="inlineStr">
        <is>
          <t>1〜100／0〜MaxConnectionsPercent</t>
        </is>
      </c>
      <c r="G36" s="9" t="inlineStr">
        <is>
          <t>ターゲットグループ単位</t>
        </is>
      </c>
      <c r="H36" s="9" t="inlineStr">
        <is>
          <t>DB接続数の上限・アイドル保持数</t>
        </is>
      </c>
      <c r="I36" s="9" t="inlineStr">
        <is>
          <t>借用待ち</t>
        </is>
      </c>
      <c r="J36" s="9" t="inlineStr">
        <is>
          <t>複数Proxyの合計≦100%（例：オンライン60＋バッチ30）。直近の最大使用量より30%以上の余裕</t>
        </is>
      </c>
    </row>
    <row r="37" ht="37" customHeight="1">
      <c r="B37" s="14" t="inlineStr">
        <is>
          <t>RDS Proxy</t>
        </is>
      </c>
      <c r="C37" s="12" t="inlineStr">
        <is>
          <t>InitQuery</t>
        </is>
      </c>
      <c r="D37" s="12" t="inlineStr">
        <is>
          <t>—</t>
        </is>
      </c>
      <c r="E37" s="12" t="inlineStr">
        <is>
          <t>なし</t>
        </is>
      </c>
      <c r="F37" s="12" t="inlineStr">
        <is>
          <t>—</t>
        </is>
      </c>
      <c r="G37" s="12" t="inlineStr">
        <is>
          <t>ターゲットグループ単位</t>
        </is>
      </c>
      <c r="H37" s="12" t="inlineStr">
        <is>
          <t>新しいDB接続を開くときに実行</t>
        </is>
      </c>
      <c r="I37" s="12" t="inlineStr">
        <is>
          <t>—</t>
        </is>
      </c>
      <c r="J37" s="12" t="inlineStr">
        <is>
          <t>経路別のセッション既定（ロック待ちなど）を設定する</t>
        </is>
      </c>
    </row>
    <row r="38" ht="37" customHeight="1">
      <c r="B38" s="13" t="inlineStr">
        <is>
          <t>RDS Proxy</t>
        </is>
      </c>
      <c r="C38" s="9" t="inlineStr">
        <is>
          <t>クライアント接続の最大寿命</t>
        </is>
      </c>
      <c r="D38" s="9" t="inlineStr">
        <is>
          <t>時間</t>
        </is>
      </c>
      <c r="E38" s="9" t="inlineStr">
        <is>
          <t>24（変更不可）</t>
        </is>
      </c>
      <c r="F38" s="9" t="inlineStr">
        <is>
          <t>—</t>
        </is>
      </c>
      <c r="G38" s="9" t="inlineStr">
        <is>
          <t>—</t>
        </is>
      </c>
      <c r="H38" s="9" t="inlineStr">
        <is>
          <t>接続確立からの経過</t>
        </is>
      </c>
      <c r="I38" s="9" t="inlineStr">
        <is>
          <t>切断</t>
        </is>
      </c>
      <c r="J38" s="9" t="inlineStr">
        <is>
          <t>アプリ側プールの接続は24時間未満で入れ替える</t>
        </is>
      </c>
    </row>
    <row r="39" ht="37" customHeight="1">
      <c r="B39" s="14" t="inlineStr">
        <is>
          <t>Aurora MySQL</t>
        </is>
      </c>
      <c r="C39" s="12" t="inlineStr">
        <is>
          <t>innodb_lock_wait_timeout</t>
        </is>
      </c>
      <c r="D39" s="12" t="inlineStr">
        <is>
          <t>秒</t>
        </is>
      </c>
      <c r="E39" s="12" t="inlineStr">
        <is>
          <t>50</t>
        </is>
      </c>
      <c r="F39" s="12" t="inlineStr">
        <is>
          <t>1〜1,073,741,824</t>
        </is>
      </c>
      <c r="G39" s="12" t="inlineStr">
        <is>
          <t>グローバル／セッション</t>
        </is>
      </c>
      <c r="H39" s="12" t="inlineStr">
        <is>
          <t>行ロックの待ち</t>
        </is>
      </c>
      <c r="I39" s="12" t="inlineStr">
        <is>
          <t>ERROR 1205（その文だけ取り消し）</t>
        </is>
      </c>
      <c r="J39" s="12" t="inlineStr">
        <is>
          <t>オンライン10秒、バッチ120秒（InitQuery で設定）</t>
        </is>
      </c>
    </row>
    <row r="40" ht="37" customHeight="1">
      <c r="B40" s="13" t="inlineStr">
        <is>
          <t>Aurora MySQL</t>
        </is>
      </c>
      <c r="C40" s="9" t="inlineStr">
        <is>
          <t>max_execution_time</t>
        </is>
      </c>
      <c r="D40" s="9" t="inlineStr">
        <is>
          <t>ms</t>
        </is>
      </c>
      <c r="E40" s="9" t="inlineStr">
        <is>
          <t>0（無制限）</t>
        </is>
      </c>
      <c r="F40" s="9" t="inlineStr">
        <is>
          <t>—</t>
        </is>
      </c>
      <c r="G40" s="9" t="inlineStr">
        <is>
          <t>グローバル／セッション／ヒント</t>
        </is>
      </c>
      <c r="H40" s="9" t="inlineStr">
        <is>
          <t>SELECT の実行時間</t>
        </is>
      </c>
      <c r="I40" s="9" t="inlineStr">
        <is>
          <t>ERROR 3024</t>
        </is>
      </c>
      <c r="J40" s="9" t="inlineStr">
        <is>
          <t>ヒントで経路別に</t>
        </is>
      </c>
    </row>
    <row r="41" ht="37" customHeight="1">
      <c r="B41" s="14" t="inlineStr">
        <is>
          <t>Aurora MySQL</t>
        </is>
      </c>
      <c r="C41" s="12" t="inlineStr">
        <is>
          <t>lock_wait_timeout</t>
        </is>
      </c>
      <c r="D41" s="12" t="inlineStr">
        <is>
          <t>秒</t>
        </is>
      </c>
      <c r="E41" s="12" t="inlineStr">
        <is>
          <t>31,536,000</t>
        </is>
      </c>
      <c r="F41" s="12" t="inlineStr">
        <is>
          <t>—</t>
        </is>
      </c>
      <c r="G41" s="12" t="inlineStr">
        <is>
          <t>グローバル／セッション</t>
        </is>
      </c>
      <c r="H41" s="12" t="inlineStr">
        <is>
          <t>メタデータロックの待ち（DDL）</t>
        </is>
      </c>
      <c r="I41" s="12" t="inlineStr">
        <is>
          <t>ERROR 1205</t>
        </is>
      </c>
      <c r="J41" s="12" t="inlineStr">
        <is>
          <t>DDL を流すセッションで短く（5〜10秒）。Proxy を通さない</t>
        </is>
      </c>
    </row>
    <row r="42" ht="37" customHeight="1">
      <c r="B42" s="13" t="inlineStr">
        <is>
          <t>Aurora MySQL</t>
        </is>
      </c>
      <c r="C42" s="9" t="inlineStr">
        <is>
          <t>wait_timeout／interactive_timeout</t>
        </is>
      </c>
      <c r="D42" s="9" t="inlineStr">
        <is>
          <t>秒</t>
        </is>
      </c>
      <c r="E42" s="9" t="inlineStr">
        <is>
          <t>28,800</t>
        </is>
      </c>
      <c r="F42" s="9" t="inlineStr">
        <is>
          <t>—</t>
        </is>
      </c>
      <c r="G42" s="9" t="inlineStr">
        <is>
          <t>グローバル／セッション</t>
        </is>
      </c>
      <c r="H42" s="9" t="inlineStr">
        <is>
          <t>無通信の接続</t>
        </is>
      </c>
      <c r="I42" s="9" t="inlineStr">
        <is>
          <t>切断</t>
        </is>
      </c>
      <c r="J42" s="9" t="inlineStr">
        <is>
          <t>IdleClientTimeout 以上（既定のまま）</t>
        </is>
      </c>
    </row>
    <row r="43" ht="52" customHeight="1">
      <c r="B43" s="14" t="inlineStr">
        <is>
          <t>Aurora MySQL</t>
        </is>
      </c>
      <c r="C43" s="12" t="inlineStr">
        <is>
          <t>net_read_timeout／net_write_timeout</t>
        </is>
      </c>
      <c r="D43" s="12" t="inlineStr">
        <is>
          <t>秒</t>
        </is>
      </c>
      <c r="E43" s="12" t="inlineStr">
        <is>
          <t>30／60</t>
        </is>
      </c>
      <c r="F43" s="12" t="inlineStr">
        <is>
          <t>—</t>
        </is>
      </c>
      <c r="G43" s="12" t="inlineStr">
        <is>
          <t>グローバル／セッション</t>
        </is>
      </c>
      <c r="H43" s="12" t="inlineStr">
        <is>
          <t>通信の読み・書き待ち</t>
        </is>
      </c>
      <c r="I43" s="12" t="inlineStr">
        <is>
          <t>切断</t>
        </is>
      </c>
      <c r="J43" s="12" t="inlineStr">
        <is>
          <t>バッチの逐次読み（ストリーミング）では net_write_timeout を延長（追跡対象の変数なのでピン留めされない）</t>
        </is>
      </c>
    </row>
    <row r="44" ht="37" customHeight="1">
      <c r="B44" s="13" t="inlineStr">
        <is>
          <t>Aurora MySQL</t>
        </is>
      </c>
      <c r="C44" s="9" t="inlineStr">
        <is>
          <t>connect_timeout</t>
        </is>
      </c>
      <c r="D44" s="9" t="inlineStr">
        <is>
          <t>秒</t>
        </is>
      </c>
      <c r="E44" s="9" t="inlineStr">
        <is>
          <t>10</t>
        </is>
      </c>
      <c r="F44" s="9" t="inlineStr">
        <is>
          <t>—</t>
        </is>
      </c>
      <c r="G44" s="9" t="inlineStr">
        <is>
          <t>グローバル</t>
        </is>
      </c>
      <c r="H44" s="9" t="inlineStr">
        <is>
          <t>接続時のハンドシェイク</t>
        </is>
      </c>
      <c r="I44" s="9" t="inlineStr">
        <is>
          <t>接続失敗</t>
        </is>
      </c>
      <c r="J44" s="9" t="inlineStr">
        <is>
          <t>既定のまま</t>
        </is>
      </c>
    </row>
    <row r="45" ht="52" customHeight="1">
      <c r="B45" s="14" t="inlineStr">
        <is>
          <t>Aurora Serverless v2</t>
        </is>
      </c>
      <c r="C45" s="12" t="inlineStr">
        <is>
          <t>SecondsUntilAutoPause（最小0 ACU時）</t>
        </is>
      </c>
      <c r="D45" s="12" t="inlineStr">
        <is>
          <t>秒</t>
        </is>
      </c>
      <c r="E45" s="12" t="inlineStr">
        <is>
          <t>300</t>
        </is>
      </c>
      <c r="F45" s="12" t="inlineStr">
        <is>
          <t>300〜86,400</t>
        </is>
      </c>
      <c r="G45" s="12" t="inlineStr">
        <is>
          <t>クラスタ単位</t>
        </is>
      </c>
      <c r="H45" s="12" t="inlineStr">
        <is>
          <t>接続がない時間</t>
        </is>
      </c>
      <c r="I45" s="12" t="inlineStr">
        <is>
          <t>一時停止（再開に約15秒、24時間超の停止後は30秒以上）</t>
        </is>
      </c>
      <c r="J45" s="12" t="inlineStr">
        <is>
          <t>RDS Proxy が付いていると一時停止しない</t>
        </is>
      </c>
    </row>
    <row r="46" ht="67" customHeight="1">
      <c r="B46" s="13" t="inlineStr">
        <is>
          <t>Jakarta Batch（バッチがJBoss上の場合）</t>
        </is>
      </c>
      <c r="C46" s="9" t="inlineStr">
        <is>
          <t>jakarta.transaction.global.timeout</t>
        </is>
      </c>
      <c r="D46" s="9" t="inlineStr">
        <is>
          <t>秒</t>
        </is>
      </c>
      <c r="E46" s="9" t="inlineStr">
        <is>
          <t>180</t>
        </is>
      </c>
      <c r="F46" s="9" t="inlineStr">
        <is>
          <t>—</t>
        </is>
      </c>
      <c r="G46" s="9" t="inlineStr">
        <is>
          <t>チャンクステップ単位</t>
        </is>
      </c>
      <c r="H46" s="9" t="inlineStr">
        <is>
          <t>チャンクのトランザクション</t>
        </is>
      </c>
      <c r="I46" s="9" t="inlineStr">
        <is>
          <t>ロールバック</t>
        </is>
      </c>
      <c r="J46" s="9" t="inlineStr">
        <is>
          <t>チャンクの想定時間×2〜3</t>
        </is>
      </c>
    </row>
    <row r="47" ht="67" customHeight="1">
      <c r="B47" s="14" t="inlineStr">
        <is>
          <t>HikariCP（バッチが Spring 等の場合）</t>
        </is>
      </c>
      <c r="C47" s="12" t="inlineStr">
        <is>
          <t>connectionTimeout／idleTimeout／maxLifetime</t>
        </is>
      </c>
      <c r="D47" s="12" t="inlineStr">
        <is>
          <t>ms</t>
        </is>
      </c>
      <c r="E47" s="12" t="inlineStr">
        <is>
          <t>30,000／600,000／1,800,000</t>
        </is>
      </c>
      <c r="F47" s="12" t="inlineStr">
        <is>
          <t>—</t>
        </is>
      </c>
      <c r="G47" s="12" t="inlineStr">
        <is>
          <t>プール単位</t>
        </is>
      </c>
      <c r="H47" s="12" t="inlineStr">
        <is>
          <t>取得待ち／アイドル／寿命</t>
        </is>
      </c>
      <c r="I47" s="12" t="inlineStr">
        <is>
          <t>例外／切断</t>
        </is>
      </c>
      <c r="J47" s="12" t="inlineStr">
        <is>
          <t>idleTimeout ＜ IdleClientTimeout、maxLifetime ＜ 24時間</t>
        </is>
      </c>
    </row>
    <row r="48" ht="52" customHeight="1">
      <c r="B48" s="13" t="inlineStr">
        <is>
          <t>Amazon SQS（P4で使う場合）</t>
        </is>
      </c>
      <c r="C48" s="9" t="inlineStr">
        <is>
          <t>VisibilityTimeout</t>
        </is>
      </c>
      <c r="D48" s="9" t="inlineStr">
        <is>
          <t>秒</t>
        </is>
      </c>
      <c r="E48" s="9" t="inlineStr">
        <is>
          <t>30</t>
        </is>
      </c>
      <c r="F48" s="9" t="inlineStr">
        <is>
          <t>0〜43,200</t>
        </is>
      </c>
      <c r="G48" s="9" t="inlineStr">
        <is>
          <t>キュー／メッセージ単位</t>
        </is>
      </c>
      <c r="H48" s="9" t="inlineStr">
        <is>
          <t>処理中のメッセージを隠す時間</t>
        </is>
      </c>
      <c r="I48" s="9" t="inlineStr">
        <is>
          <t>再配信</t>
        </is>
      </c>
      <c r="J48" s="9" t="inlineStr">
        <is>
          <t>最大処理時間＋余裕。長い処理は ChangeMessageVisibility で延長</t>
        </is>
      </c>
    </row>
    <row r="49" ht="37" customHeight="1">
      <c r="B49" s="14" t="inlineStr">
        <is>
          <t>Undertow サーブレット</t>
        </is>
      </c>
      <c r="C49" s="12" t="inlineStr">
        <is>
          <t>default-session-timeout</t>
        </is>
      </c>
      <c r="D49" s="12" t="inlineStr">
        <is>
          <t>分</t>
        </is>
      </c>
      <c r="E49" s="12" t="inlineStr">
        <is>
          <t>30</t>
        </is>
      </c>
      <c r="F49" s="12" t="inlineStr">
        <is>
          <t>—</t>
        </is>
      </c>
      <c r="G49" s="12" t="inlineStr">
        <is>
          <t>サーバ単位</t>
        </is>
      </c>
      <c r="H49" s="12" t="inlineStr">
        <is>
          <t>HTTPセッション（ログイン状態）</t>
        </is>
      </c>
      <c r="I49" s="12" t="inlineStr">
        <is>
          <t>セッション破棄</t>
        </is>
      </c>
      <c r="J49" s="12" t="inlineStr">
        <is>
          <t>画面のみ。ネットワークのタイムアウトとは別物</t>
        </is>
      </c>
    </row>
  </sheetData>
  <mergeCells count="4">
    <mergeCell ref="B4:J4"/>
    <mergeCell ref="B1:J1"/>
    <mergeCell ref="B2:C2"/>
    <mergeCell ref="D2:J2"/>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7.xml><?xml version="1.0" encoding="utf-8"?>
<worksheet xmlns="http://schemas.openxmlformats.org/spreadsheetml/2006/main">
  <sheetPr>
    <tabColor rgb="00404040"/>
    <outlinePr summaryBelow="1" summaryRight="1"/>
    <pageSetUpPr fitToPage="1"/>
  </sheetPr>
  <dimension ref="A1:I36"/>
  <sheetViews>
    <sheetView showGridLines="0" zoomScale="100" workbookViewId="0">
      <selection activeCell="A1" sqref="A1"/>
    </sheetView>
  </sheetViews>
  <sheetFormatPr baseColWidth="8" defaultRowHeight="15"/>
  <cols>
    <col width="2" customWidth="1" min="1" max="1"/>
    <col width="15" customWidth="1" min="2" max="2"/>
    <col width="24" customWidth="1" min="3" max="3"/>
    <col width="20" customWidth="1" min="4" max="4"/>
    <col width="20" customWidth="1" min="5" max="5"/>
    <col width="20" customWidth="1" min="6" max="6"/>
    <col width="20" customWidth="1" min="7" max="7"/>
    <col width="20" customWidth="1" min="8" max="8"/>
    <col width="38" customWidth="1" min="9" max="9"/>
  </cols>
  <sheetData>
    <row r="1" ht="36" customHeight="1">
      <c r="B1" s="1" t="inlineStr">
        <is>
          <t>推奨値：P2 経路分離型（本件の推奨）</t>
        </is>
      </c>
      <c r="C1" s="2" t="n"/>
      <c r="D1" s="2" t="n"/>
      <c r="E1" s="2" t="n"/>
      <c r="F1" s="2" t="n"/>
      <c r="G1" s="2" t="n"/>
      <c r="H1" s="2" t="n"/>
      <c r="I1" s="2" t="n"/>
    </row>
    <row r="2" ht="18" customHeight="1">
      <c r="B2" s="20" t="inlineStr">
        <is>
          <t>« 00_表紙（目次）へ戻る</t>
        </is>
      </c>
      <c r="D2" s="21" t="inlineStr">
        <is>
          <t>Aurora Serverless v2 共有構成のタイムアウト設計ガイド　｜　推奨値：P2 経路分離型（本件の推奨）</t>
        </is>
      </c>
    </row>
    <row r="3" ht="6" customHeight="1"/>
    <row r="4" ht="36" customHeight="1">
      <c r="B4" s="4" t="inlineStr">
        <is>
          <t>本件（イントラAPIが最重、バッチも同じDBを使う）に最もおすすめの設定です。値は 11_計算シート の初期入力から計算した結果と一致します。入力（各経路のアプリ期限など）を変えた場合は 11_計算シート の結果を使ってください。</t>
        </is>
      </c>
    </row>
    <row r="5" ht="10" customHeight="1"/>
    <row r="6" ht="24" customHeight="1">
      <c r="B6" s="5" t="inlineStr">
        <is>
          <t xml:space="preserve">　前提となる部品の分け方</t>
        </is>
      </c>
    </row>
    <row r="7" ht="4" customHeight="1"/>
    <row r="8" ht="19" customHeight="1">
      <c r="B8" s="25" t="inlineStr">
        <is>
          <t>・ALB-1：API Gateway（VPC Link v2）の先に置く外部API用の内部ALB。ECSサービスA（インターネットAPI＋Salesforce API）</t>
        </is>
      </c>
    </row>
    <row r="9" ht="19" customHeight="1">
      <c r="B9" s="25" t="inlineStr">
        <is>
          <t>・ALB-2：イントラ用の内部ALB。パス／ホストで ECSサービスB（イントラAPI専用）と ECSサービスC（画面）のターゲットグループに振り分け</t>
        </is>
      </c>
    </row>
    <row r="10" ht="19" customHeight="1">
      <c r="B10" s="25" t="inlineStr">
        <is>
          <t>・RDS Proxy：DBごとに「オンライン用」（サービスA・B・C）と「バッチ用」を作る（2DBなら計4つ）</t>
        </is>
      </c>
    </row>
    <row r="11" ht="19" customHeight="1">
      <c r="B11" s="25" t="inlineStr">
        <is>
          <t>・イントラAPIのアプリ期限は120秒。これを超える処理は P4（非同期型）へ</t>
        </is>
      </c>
    </row>
    <row r="12" ht="10" customHeight="1"/>
    <row r="13" ht="24" customHeight="1">
      <c r="B13" s="5" t="inlineStr">
        <is>
          <t xml:space="preserve">　推奨値マトリクス（P2）</t>
        </is>
      </c>
    </row>
    <row r="14" ht="4" customHeight="1"/>
    <row r="15" ht="38" customHeight="1">
      <c r="B15" s="6" t="inlineStr">
        <is>
          <t>レイヤ</t>
        </is>
      </c>
      <c r="C15" s="6" t="inlineStr">
        <is>
          <t>設定項目</t>
        </is>
      </c>
      <c r="D15" s="6" t="inlineStr">
        <is>
          <t>インターネットAPI</t>
        </is>
      </c>
      <c r="E15" s="6" t="inlineStr">
        <is>
          <t>Salesforce API</t>
        </is>
      </c>
      <c r="F15" s="6" t="inlineStr">
        <is>
          <t>イントラAPI（最重）</t>
        </is>
      </c>
      <c r="G15" s="6" t="inlineStr">
        <is>
          <t>イントラ画面</t>
        </is>
      </c>
      <c r="H15" s="6" t="inlineStr">
        <is>
          <t>バッチ</t>
        </is>
      </c>
      <c r="I15" s="6" t="inlineStr">
        <is>
          <t>根拠・メモ</t>
        </is>
      </c>
    </row>
    <row r="16" ht="37" customHeight="1">
      <c r="B16" s="13" t="inlineStr">
        <is>
          <t>構成</t>
        </is>
      </c>
      <c r="C16" s="13" t="inlineStr">
        <is>
          <t>部品の分け方</t>
        </is>
      </c>
      <c r="D16" s="9" t="inlineStr">
        <is>
          <t>ALB-1＋ECSサービスA（外部API）</t>
        </is>
      </c>
      <c r="E16" s="9" t="inlineStr">
        <is>
          <t>ALB-1＋ECSサービスA（外部API）</t>
        </is>
      </c>
      <c r="F16" s="9" t="inlineStr">
        <is>
          <t>ALB-2＋ECSサービスB（イントラAPI専用）</t>
        </is>
      </c>
      <c r="G16" s="9" t="inlineStr">
        <is>
          <t>ALB-2＋ECSサービスC（画面）</t>
        </is>
      </c>
      <c r="H16" s="9" t="inlineStr">
        <is>
          <t>バッチ用 RDS Proxy</t>
        </is>
      </c>
      <c r="I16" s="9" t="inlineStr">
        <is>
          <t>DBが2つなら Proxy はオンライン用×2＋バッチ用×2 の計4つ</t>
        </is>
      </c>
    </row>
    <row r="17" ht="67" customHeight="1">
      <c r="B17" s="14" t="inlineStr">
        <is>
          <t>呼出元</t>
        </is>
      </c>
      <c r="C17" s="14" t="inlineStr">
        <is>
          <t>呼出元のタイムアウト</t>
        </is>
      </c>
      <c r="D17" s="12" t="inlineStr">
        <is>
          <t>40秒（SDK・連携先に明示。冪等キー＋指数バックオフで最大2回再試行）</t>
        </is>
      </c>
      <c r="E17" s="12" t="inlineStr">
        <is>
          <t>setTimeout(40000)（最大120,000、1トランザクション累計120秒）</t>
        </is>
      </c>
      <c r="F17" s="12" t="inlineStr">
        <is>
          <t>160秒（社内クライアントのHTTP読み取りTO。社内プロキシ・FWのタイマーも確認）</t>
        </is>
      </c>
      <c r="G17" s="12" t="inlineStr">
        <is>
          <t>40秒（JS の AbortController。二度押し防止）</t>
        </is>
      </c>
      <c r="H17" s="12" t="inlineStr">
        <is>
          <t>ジョブ管理側で想定時間の2〜3倍</t>
        </is>
      </c>
      <c r="I17" s="12" t="inlineStr">
        <is>
          <t>外側ほど長く。画面は「人が待つ」ため例外的に短め（アプリが30秒で必ず応答する）</t>
        </is>
      </c>
    </row>
    <row r="18" ht="22" customHeight="1">
      <c r="B18" s="13" t="inlineStr">
        <is>
          <t>API Gateway</t>
        </is>
      </c>
      <c r="C18" s="13" t="inlineStr">
        <is>
          <t>統合タイムアウト</t>
        </is>
      </c>
      <c r="D18" s="9" t="inlineStr">
        <is>
          <t>29秒（29,000ms）</t>
        </is>
      </c>
      <c r="E18" s="9" t="inlineStr">
        <is>
          <t>29秒（29,000ms）</t>
        </is>
      </c>
      <c r="F18" s="9" t="inlineStr">
        <is>
          <t>—</t>
        </is>
      </c>
      <c r="G18" s="9" t="inlineStr">
        <is>
          <t>—</t>
        </is>
      </c>
      <c r="H18" s="9" t="inlineStr">
        <is>
          <t>—</t>
        </is>
      </c>
      <c r="I18" s="9" t="inlineStr">
        <is>
          <t>アプリ期限25秒＋4秒。29秒は既定の上限</t>
        </is>
      </c>
    </row>
    <row r="19" ht="37" customHeight="1">
      <c r="B19" s="14" t="inlineStr">
        <is>
          <t>ALB</t>
        </is>
      </c>
      <c r="C19" s="14" t="inlineStr">
        <is>
          <t>idle_timeout</t>
        </is>
      </c>
      <c r="D19" s="12" t="inlineStr">
        <is>
          <t>ALB-1：60秒</t>
        </is>
      </c>
      <c r="E19" s="12" t="inlineStr">
        <is>
          <t>ALB-1：60秒</t>
        </is>
      </c>
      <c r="F19" s="12" t="inlineStr">
        <is>
          <t>ALB-2：150秒</t>
        </is>
      </c>
      <c r="G19" s="12" t="inlineStr">
        <is>
          <t>ALB-2：150秒（イントラAPIと共有）</t>
        </is>
      </c>
      <c r="H19" s="12" t="inlineStr">
        <is>
          <t>—</t>
        </is>
      </c>
      <c r="I19" s="12" t="inlineStr">
        <is>
          <t>LB単位で1つ。そのALB上の最長アプリ期限＋30秒（最低60秒）</t>
        </is>
      </c>
    </row>
    <row r="20" ht="37" customHeight="1">
      <c r="B20" s="13" t="inlineStr">
        <is>
          <t>ALB</t>
        </is>
      </c>
      <c r="C20" s="13" t="inlineStr">
        <is>
          <t>登録解除遅延（TG）</t>
        </is>
      </c>
      <c r="D20" s="9" t="inlineStr">
        <is>
          <t>40秒</t>
        </is>
      </c>
      <c r="E20" s="9" t="inlineStr">
        <is>
          <t>40秒</t>
        </is>
      </c>
      <c r="F20" s="9" t="inlineStr">
        <is>
          <t>135秒</t>
        </is>
      </c>
      <c r="G20" s="9" t="inlineStr">
        <is>
          <t>45秒</t>
        </is>
      </c>
      <c r="H20" s="9" t="inlineStr">
        <is>
          <t>—</t>
        </is>
      </c>
      <c r="I20" s="9" t="inlineStr">
        <is>
          <t>TG単位。アプリ期限＋15秒。長すぎるとデプロイが遅くなる（既定300秒）</t>
        </is>
      </c>
    </row>
    <row r="21" ht="37" customHeight="1">
      <c r="B21" s="14" t="inlineStr">
        <is>
          <t>ECS</t>
        </is>
      </c>
      <c r="C21" s="14" t="inlineStr">
        <is>
          <t>stopTimeout</t>
        </is>
      </c>
      <c r="D21" s="12" t="inlineStr">
        <is>
          <t>30秒</t>
        </is>
      </c>
      <c r="E21" s="12" t="inlineStr">
        <is>
          <t>30秒</t>
        </is>
      </c>
      <c r="F21" s="12" t="inlineStr">
        <is>
          <t>60秒</t>
        </is>
      </c>
      <c r="G21" s="12" t="inlineStr">
        <is>
          <t>30秒</t>
        </is>
      </c>
      <c r="H21" s="12" t="inlineStr">
        <is>
          <t>—</t>
        </is>
      </c>
      <c r="I21" s="12" t="inlineStr">
        <is>
          <t>最大120秒。ALBの登録解除（ドレイン）完了後に SIGTERM が送られる</t>
        </is>
      </c>
    </row>
    <row r="22" ht="37" customHeight="1">
      <c r="B22" s="13" t="inlineStr">
        <is>
          <t>JBoss Undertow</t>
        </is>
      </c>
      <c r="C22" s="13" t="inlineStr">
        <is>
          <t>no-request-timeout</t>
        </is>
      </c>
      <c r="D22" s="9" t="inlineStr">
        <is>
          <t>75,000ms</t>
        </is>
      </c>
      <c r="E22" s="9" t="inlineStr">
        <is>
          <t>75,000ms</t>
        </is>
      </c>
      <c r="F22" s="9" t="inlineStr">
        <is>
          <t>165,000ms</t>
        </is>
      </c>
      <c r="G22" s="9" t="inlineStr">
        <is>
          <t>165,000ms</t>
        </is>
      </c>
      <c r="H22" s="9" t="inlineStr">
        <is>
          <t>—</t>
        </is>
      </c>
      <c r="I22" s="9" t="inlineStr">
        <is>
          <t>ALB idle＋15秒。同じか短いと間欠的に502</t>
        </is>
      </c>
    </row>
    <row r="23" ht="52" customHeight="1">
      <c r="B23" s="14" t="inlineStr">
        <is>
          <t>JBoss JTA</t>
        </is>
      </c>
      <c r="C23" s="14" t="inlineStr">
        <is>
          <t>アプリ期限（default-timeout）</t>
        </is>
      </c>
      <c r="D23" s="12" t="inlineStr">
        <is>
          <t>25秒（サービスAのサーバ既定）</t>
        </is>
      </c>
      <c r="E23" s="12" t="inlineStr">
        <is>
          <t>25秒（サービスAのサーバ既定）</t>
        </is>
      </c>
      <c r="F23" s="12" t="inlineStr">
        <is>
          <t>120秒（サービスBのサーバ既定）</t>
        </is>
      </c>
      <c r="G23" s="12" t="inlineStr">
        <is>
          <t>30秒（サービスCのサーバ既定）</t>
        </is>
      </c>
      <c r="H23" s="12" t="inlineStr">
        <is>
          <t>チャンク単位300秒（例：1,000件ごとにコミット）</t>
        </is>
      </c>
      <c r="I23" s="12" t="inlineStr">
        <is>
          <t>経路の「応答期限」そのもの</t>
        </is>
      </c>
    </row>
    <row r="24" ht="37" customHeight="1">
      <c r="B24" s="13" t="inlineStr">
        <is>
          <t>JBoss データソース</t>
        </is>
      </c>
      <c r="C24" s="13" t="inlineStr">
        <is>
          <t>blocking-timeout-wait-millis</t>
        </is>
      </c>
      <c r="D24" s="9" t="inlineStr">
        <is>
          <t>3,000ms</t>
        </is>
      </c>
      <c r="E24" s="9" t="inlineStr">
        <is>
          <t>3,000ms</t>
        </is>
      </c>
      <c r="F24" s="9" t="inlineStr">
        <is>
          <t>10,000ms</t>
        </is>
      </c>
      <c r="G24" s="9" t="inlineStr">
        <is>
          <t>4,000ms</t>
        </is>
      </c>
      <c r="H24" s="9" t="inlineStr">
        <is>
          <t>30,000ms（バッチ側プールの取得待ち）</t>
        </is>
      </c>
      <c r="I24" s="9" t="inlineStr">
        <is>
          <t>期限の約12%（2〜10秒）。待たせずに早く失敗＝連鎖障害の防止</t>
        </is>
      </c>
    </row>
    <row r="25" ht="82" customHeight="1">
      <c r="B25" s="14" t="inlineStr">
        <is>
          <t>JBoss データソース</t>
        </is>
      </c>
      <c r="C25" s="14" t="inlineStr">
        <is>
          <t>query timeout</t>
        </is>
      </c>
      <c r="D25" s="12" t="inlineStr">
        <is>
          <t>set-tx-query-timeout＝true／query-timeout＝20秒</t>
        </is>
      </c>
      <c r="E25" s="12" t="inlineStr">
        <is>
          <t>set-tx-query-timeout＝true／query-timeout＝20秒</t>
        </is>
      </c>
      <c r="F25" s="12" t="inlineStr">
        <is>
          <t>true／115秒</t>
        </is>
      </c>
      <c r="G25" s="12" t="inlineStr">
        <is>
          <t>true／25秒</t>
        </is>
      </c>
      <c r="H25" s="12" t="inlineStr">
        <is>
          <t>setQueryTimeout 900秒（読み取りSQLごと。カーソル読み取りはチャンクのトランザクションの外）</t>
        </is>
      </c>
      <c r="I25" s="12" t="inlineStr">
        <is>
          <t>トランザクション内は残り時間が自動で入る。中断の仕組みは RDS Proxy 経由で【要検証】</t>
        </is>
      </c>
    </row>
    <row r="26" ht="52" customHeight="1">
      <c r="B26" s="13" t="inlineStr">
        <is>
          <t>Aurora（SQL）</t>
        </is>
      </c>
      <c r="C26" s="13" t="inlineStr">
        <is>
          <t>SELECT 上限（MAX_EXECUTION_TIME ヒント）</t>
        </is>
      </c>
      <c r="D26" s="9" t="inlineStr">
        <is>
          <t>20,000ms</t>
        </is>
      </c>
      <c r="E26" s="9" t="inlineStr">
        <is>
          <t>20,000ms</t>
        </is>
      </c>
      <c r="F26" s="9" t="inlineStr">
        <is>
          <t>115,000ms</t>
        </is>
      </c>
      <c r="G26" s="9" t="inlineStr">
        <is>
          <t>25,000ms</t>
        </is>
      </c>
      <c r="H26" s="9" t="inlineStr">
        <is>
          <t>0（無制限。必要なジョブだけヒント）</t>
        </is>
      </c>
      <c r="I26" s="9" t="inlineStr">
        <is>
          <t>SELECT のみ。DB側で確実に止める保険</t>
        </is>
      </c>
    </row>
    <row r="27" ht="37" customHeight="1">
      <c r="B27" s="14" t="inlineStr">
        <is>
          <t>Connector/J</t>
        </is>
      </c>
      <c r="C27" s="14" t="inlineStr">
        <is>
          <t>socketTimeout</t>
        </is>
      </c>
      <c r="D27" s="12" t="inlineStr">
        <is>
          <t>35,000ms</t>
        </is>
      </c>
      <c r="E27" s="12" t="inlineStr">
        <is>
          <t>35,000ms</t>
        </is>
      </c>
      <c r="F27" s="12" t="inlineStr">
        <is>
          <t>130,000ms</t>
        </is>
      </c>
      <c r="G27" s="12" t="inlineStr">
        <is>
          <t>40,000ms</t>
        </is>
      </c>
      <c r="H27" s="12" t="inlineStr">
        <is>
          <t>1,800,000ms（最長SQL×2）</t>
        </is>
      </c>
      <c r="I27" s="12" t="inlineStr">
        <is>
          <t>最後の安全ベルト。正当な処理より必ず長く</t>
        </is>
      </c>
    </row>
    <row r="28" ht="37" customHeight="1">
      <c r="B28" s="13" t="inlineStr">
        <is>
          <t>Connector/J</t>
        </is>
      </c>
      <c r="C28" s="13" t="inlineStr">
        <is>
          <t>connectTimeout</t>
        </is>
      </c>
      <c r="D28" s="9" t="inlineStr">
        <is>
          <t>5,000ms</t>
        </is>
      </c>
      <c r="E28" s="9" t="inlineStr">
        <is>
          <t>5,000ms</t>
        </is>
      </c>
      <c r="F28" s="9" t="inlineStr">
        <is>
          <t>5,000ms</t>
        </is>
      </c>
      <c r="G28" s="9" t="inlineStr">
        <is>
          <t>5,000ms</t>
        </is>
      </c>
      <c r="H28" s="9" t="inlineStr">
        <is>
          <t>10,000ms</t>
        </is>
      </c>
      <c r="I28" s="9" t="inlineStr">
        <is>
          <t>RDS Proxy 経由では Aurora の自動一時停止が起きないため、15秒超は不要</t>
        </is>
      </c>
    </row>
    <row r="29" ht="52" customHeight="1">
      <c r="B29" s="14" t="inlineStr">
        <is>
          <t>JBoss データソース</t>
        </is>
      </c>
      <c r="C29" s="14" t="inlineStr">
        <is>
          <t>idle-timeout-minutes</t>
        </is>
      </c>
      <c r="D29" s="12" t="inlineStr">
        <is>
          <t>10分</t>
        </is>
      </c>
      <c r="E29" s="12" t="inlineStr">
        <is>
          <t>10分</t>
        </is>
      </c>
      <c r="F29" s="12" t="inlineStr">
        <is>
          <t>10分</t>
        </is>
      </c>
      <c r="G29" s="12" t="inlineStr">
        <is>
          <t>10分</t>
        </is>
      </c>
      <c r="H29" s="12" t="inlineStr">
        <is>
          <t>10分（HikariCP なら idleTimeout＝600,000）</t>
        </is>
      </c>
      <c r="I29" s="12" t="inlineStr">
        <is>
          <t>IdleClientTimeout より短く。24時間寿命は接続検証＋ExceptionSorter で吸収</t>
        </is>
      </c>
    </row>
    <row r="30" ht="37" customHeight="1">
      <c r="B30" s="13" t="inlineStr">
        <is>
          <t>RDS Proxy</t>
        </is>
      </c>
      <c r="C30" s="13" t="inlineStr">
        <is>
          <t>ConnectionBorrowTimeout</t>
        </is>
      </c>
      <c r="D30" s="9" t="inlineStr">
        <is>
          <t>オンライン用：10秒</t>
        </is>
      </c>
      <c r="E30" s="9" t="inlineStr">
        <is>
          <t>オンライン用：10秒</t>
        </is>
      </c>
      <c r="F30" s="9" t="inlineStr">
        <is>
          <t>オンライン用：10秒</t>
        </is>
      </c>
      <c r="G30" s="9" t="inlineStr">
        <is>
          <t>オンライン用：10秒</t>
        </is>
      </c>
      <c r="H30" s="9" t="inlineStr">
        <is>
          <t>バッチ用：120秒</t>
        </is>
      </c>
      <c r="I30" s="9" t="inlineStr">
        <is>
          <t>Proxy単位。オンラインは最短期限の40%、バッチはフェイルオーバーを待ち切る</t>
        </is>
      </c>
    </row>
    <row r="31" ht="22" customHeight="1">
      <c r="B31" s="14" t="inlineStr">
        <is>
          <t>RDS Proxy</t>
        </is>
      </c>
      <c r="C31" s="14" t="inlineStr">
        <is>
          <t>IdleClientTimeout</t>
        </is>
      </c>
      <c r="D31" s="12" t="inlineStr">
        <is>
          <t>1,800秒</t>
        </is>
      </c>
      <c r="E31" s="12" t="inlineStr">
        <is>
          <t>1,800秒</t>
        </is>
      </c>
      <c r="F31" s="12" t="inlineStr">
        <is>
          <t>1,800秒</t>
        </is>
      </c>
      <c r="G31" s="12" t="inlineStr">
        <is>
          <t>1,800秒</t>
        </is>
      </c>
      <c r="H31" s="12" t="inlineStr">
        <is>
          <t>7,200秒</t>
        </is>
      </c>
      <c r="I31" s="12" t="inlineStr">
        <is>
          <t>バッチはステップ間の待ちが長いので延長</t>
        </is>
      </c>
    </row>
    <row r="32" ht="37" customHeight="1">
      <c r="B32" s="13" t="inlineStr">
        <is>
          <t>RDS Proxy</t>
        </is>
      </c>
      <c r="C32" s="13" t="inlineStr">
        <is>
          <t>MaxConnectionsPercent</t>
        </is>
      </c>
      <c r="D32" s="9" t="inlineStr">
        <is>
          <t>60%</t>
        </is>
      </c>
      <c r="E32" s="9" t="inlineStr">
        <is>
          <t>60%</t>
        </is>
      </c>
      <c r="F32" s="9" t="inlineStr">
        <is>
          <t>60%</t>
        </is>
      </c>
      <c r="G32" s="9" t="inlineStr">
        <is>
          <t>60%</t>
        </is>
      </c>
      <c r="H32" s="9" t="inlineStr">
        <is>
          <t>30%</t>
        </is>
      </c>
      <c r="I32" s="9" t="inlineStr">
        <is>
          <t>2つの Proxy の合計≦100%。残り10%は管理・直結用</t>
        </is>
      </c>
    </row>
    <row r="33" ht="52" customHeight="1">
      <c r="B33" s="14" t="inlineStr">
        <is>
          <t>Aurora</t>
        </is>
      </c>
      <c r="C33" s="14" t="inlineStr">
        <is>
          <t>innodb_lock_wait_timeout</t>
        </is>
      </c>
      <c r="D33" s="12" t="inlineStr">
        <is>
          <t>10秒（オンライン用 Proxy の InitQuery）</t>
        </is>
      </c>
      <c r="E33" s="12" t="inlineStr">
        <is>
          <t>10秒（InitQuery）</t>
        </is>
      </c>
      <c r="F33" s="12" t="inlineStr">
        <is>
          <t>10秒（InitQuery）</t>
        </is>
      </c>
      <c r="G33" s="12" t="inlineStr">
        <is>
          <t>10秒（InitQuery）</t>
        </is>
      </c>
      <c r="H33" s="12" t="inlineStr">
        <is>
          <t>120秒（バッチ用 Proxy の InitQuery）</t>
        </is>
      </c>
      <c r="I33" s="12" t="inlineStr">
        <is>
          <t>SET はピン留めになるので、Proxy 単位の InitQuery で経路別に</t>
        </is>
      </c>
    </row>
    <row r="34" ht="37" customHeight="1">
      <c r="B34" s="13" t="inlineStr">
        <is>
          <t>Aurora</t>
        </is>
      </c>
      <c r="C34" s="13" t="inlineStr">
        <is>
          <t>wait_timeout</t>
        </is>
      </c>
      <c r="D34" s="9" t="inlineStr">
        <is>
          <t>28,800秒（既定）</t>
        </is>
      </c>
      <c r="E34" s="9" t="inlineStr">
        <is>
          <t>28,800秒</t>
        </is>
      </c>
      <c r="F34" s="9" t="inlineStr">
        <is>
          <t>28,800秒</t>
        </is>
      </c>
      <c r="G34" s="9" t="inlineStr">
        <is>
          <t>28,800秒</t>
        </is>
      </c>
      <c r="H34" s="9" t="inlineStr">
        <is>
          <t>28,800秒</t>
        </is>
      </c>
      <c r="I34" s="9" t="inlineStr">
        <is>
          <t>IdleClientTimeout 以上を維持（クラスタパラメータ）</t>
        </is>
      </c>
    </row>
    <row r="35" ht="4" customHeight="1"/>
    <row r="36" ht="42" customHeight="1">
      <c r="B36" s="15" t="inlineStr">
        <is>
          <r>
            <rPr>
              <rFont val="Meiryo UI"/>
              <b val="1"/>
              <sz val="10"/>
            </rPr>
            <t xml:space="preserve">【大小関係の確認】 </t>
          </r>
          <r>
            <rPr>
              <rFont val="Meiryo UI"/>
              <sz val="10"/>
            </rPr>
            <t>インターネットAPI：呼出元40 ＞ API Gateway 29 ＞ JTA 25 ＞ SQL 20 ＞ ロック 10（プール3＋借用10＝13 ＜ 25）／ALB 60・socket 35 は安全ベルト。イントラAPI：呼出元160 ＞ ALB 150 ＞ socket 130 ＞ JTA 120 ＞ SQL 115 ＞ ロック 10。Undertow 165 ＞ ALB 150。</t>
          </r>
        </is>
      </c>
      <c r="C36" s="16" t="n"/>
      <c r="D36" s="16" t="n"/>
      <c r="E36" s="16" t="n"/>
      <c r="F36" s="16" t="n"/>
      <c r="G36" s="16" t="n"/>
      <c r="H36" s="16" t="n"/>
      <c r="I36" s="17" t="n"/>
    </row>
  </sheetData>
  <mergeCells count="11">
    <mergeCell ref="B9:I9"/>
    <mergeCell ref="B13:I13"/>
    <mergeCell ref="D2:I2"/>
    <mergeCell ref="B2:C2"/>
    <mergeCell ref="B11:I11"/>
    <mergeCell ref="B6:I6"/>
    <mergeCell ref="B10:I10"/>
    <mergeCell ref="B36:I36"/>
    <mergeCell ref="B1:I1"/>
    <mergeCell ref="B8:I8"/>
    <mergeCell ref="B4:I4"/>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8.xml><?xml version="1.0" encoding="utf-8"?>
<worksheet xmlns="http://schemas.openxmlformats.org/spreadsheetml/2006/main">
  <sheetPr>
    <tabColor rgb="00A6A6A6"/>
    <outlinePr summaryBelow="1" summaryRight="1"/>
    <pageSetUpPr fitToPage="1"/>
  </sheetPr>
  <dimension ref="A1:I142"/>
  <sheetViews>
    <sheetView showGridLines="0" zoomScale="100" workbookViewId="0">
      <selection activeCell="A1" sqref="A1"/>
    </sheetView>
  </sheetViews>
  <sheetFormatPr baseColWidth="8" defaultRowHeight="15"/>
  <cols>
    <col width="2" customWidth="1" min="1" max="1"/>
    <col width="15" customWidth="1" min="2" max="2"/>
    <col width="24" customWidth="1" min="3" max="3"/>
    <col width="20" customWidth="1" min="4" max="4"/>
    <col width="20" customWidth="1" min="5" max="5"/>
    <col width="20" customWidth="1" min="6" max="6"/>
    <col width="20" customWidth="1" min="7" max="7"/>
    <col width="20" customWidth="1" min="8" max="8"/>
    <col width="38" customWidth="1" min="9" max="9"/>
  </cols>
  <sheetData>
    <row r="1" ht="36" customHeight="1">
      <c r="B1" s="1" t="inlineStr">
        <is>
          <t>推奨値：全パターン（P0〜P5）</t>
        </is>
      </c>
      <c r="C1" s="2" t="n"/>
      <c r="D1" s="2" t="n"/>
      <c r="E1" s="2" t="n"/>
      <c r="F1" s="2" t="n"/>
      <c r="G1" s="2" t="n"/>
      <c r="H1" s="2" t="n"/>
      <c r="I1" s="2" t="n"/>
    </row>
    <row r="2" ht="18" customHeight="1">
      <c r="B2" s="20" t="inlineStr">
        <is>
          <t>« 00_表紙（目次）へ戻る</t>
        </is>
      </c>
      <c r="D2" s="21" t="inlineStr">
        <is>
          <t>Aurora Serverless v2 共有構成のタイムアウト設計ガイド　｜　推奨値：全パターン（P0〜P5）</t>
        </is>
      </c>
    </row>
    <row r="3" ht="6" customHeight="1"/>
    <row r="4" ht="21" customHeight="1">
      <c r="B4" s="4" t="inlineStr">
        <is>
          <t>同じ構成でも、部品の分け方や処理の進め方によって最適値は変わります。代表的な6パターンを並べました。P2（推奨）は 06_推奨値_P2 にあります。選び方は 08_パターン比較 を参照してください。</t>
        </is>
      </c>
    </row>
    <row r="5" ht="10" customHeight="1"/>
    <row r="6" ht="24" customHeight="1">
      <c r="B6" s="5" t="inlineStr">
        <is>
          <t xml:space="preserve">　P0 既定値のまま（比較用・非推奨）</t>
        </is>
      </c>
    </row>
    <row r="7" ht="4" customHeight="1"/>
    <row r="8" ht="21" customHeight="1">
      <c r="B8" s="22" t="inlineStr">
        <is>
          <t>何も設定しないとどうなるかを示します。メモ欄の問題がすべて起きうる状態です。</t>
        </is>
      </c>
    </row>
    <row r="9" ht="38" customHeight="1">
      <c r="B9" s="6" t="inlineStr">
        <is>
          <t>レイヤ</t>
        </is>
      </c>
      <c r="C9" s="6" t="inlineStr">
        <is>
          <t>設定項目</t>
        </is>
      </c>
      <c r="D9" s="6" t="inlineStr">
        <is>
          <t>インターネットAPI</t>
        </is>
      </c>
      <c r="E9" s="6" t="inlineStr">
        <is>
          <t>Salesforce API</t>
        </is>
      </c>
      <c r="F9" s="6" t="inlineStr">
        <is>
          <t>イントラAPI（最重）</t>
        </is>
      </c>
      <c r="G9" s="6" t="inlineStr">
        <is>
          <t>イントラ画面</t>
        </is>
      </c>
      <c r="H9" s="6" t="inlineStr">
        <is>
          <t>バッチ</t>
        </is>
      </c>
      <c r="I9" s="6" t="inlineStr">
        <is>
          <t>根拠・メモ</t>
        </is>
      </c>
    </row>
    <row r="10" ht="52" customHeight="1">
      <c r="B10" s="13" t="inlineStr">
        <is>
          <t>構成</t>
        </is>
      </c>
      <c r="C10" s="13" t="inlineStr">
        <is>
          <t>部品の分け方</t>
        </is>
      </c>
      <c r="D10" s="9" t="inlineStr">
        <is>
          <t>全部共有（ALB 1つ・ECS 1サービス・DBごとに Proxy 1つ）</t>
        </is>
      </c>
      <c r="E10" s="9" t="inlineStr">
        <is>
          <t>同左</t>
        </is>
      </c>
      <c r="F10" s="9" t="inlineStr">
        <is>
          <t>同左</t>
        </is>
      </c>
      <c r="G10" s="9" t="inlineStr">
        <is>
          <t>同左</t>
        </is>
      </c>
      <c r="H10" s="9" t="inlineStr">
        <is>
          <t>同じ Proxy を共有</t>
        </is>
      </c>
      <c r="I10" s="9" t="inlineStr">
        <is>
          <t>これが「何もしない」ときの姿</t>
        </is>
      </c>
    </row>
    <row r="11" ht="37" customHeight="1">
      <c r="B11" s="14" t="inlineStr">
        <is>
          <t>呼出元</t>
        </is>
      </c>
      <c r="C11" s="14" t="inlineStr">
        <is>
          <t>呼出元のタイムアウト</t>
        </is>
      </c>
      <c r="D11" s="12" t="inlineStr">
        <is>
          <t>ライブラリ既定（無制限が多い）</t>
        </is>
      </c>
      <c r="E11" s="12" t="inlineStr">
        <is>
          <t>10秒（Apex 既定）</t>
        </is>
      </c>
      <c r="F11" s="12" t="inlineStr">
        <is>
          <t>ライブラリ既定</t>
        </is>
      </c>
      <c r="G11" s="12" t="inlineStr">
        <is>
          <t>ブラウザ既定（例：Firefox は300秒）</t>
        </is>
      </c>
      <c r="H11" s="12" t="inlineStr">
        <is>
          <t>なし</t>
        </is>
      </c>
      <c r="I11" s="12" t="inlineStr">
        <is>
          <t>Salesforce は10秒で先に諦め → 裏で処理継続 → 再送で二重登録</t>
        </is>
      </c>
    </row>
    <row r="12" ht="22" customHeight="1">
      <c r="B12" s="13" t="inlineStr">
        <is>
          <t>API Gateway</t>
        </is>
      </c>
      <c r="C12" s="13" t="inlineStr">
        <is>
          <t>統合タイムアウト</t>
        </is>
      </c>
      <c r="D12" s="9" t="inlineStr">
        <is>
          <t>29秒</t>
        </is>
      </c>
      <c r="E12" s="9" t="inlineStr">
        <is>
          <t>29秒</t>
        </is>
      </c>
      <c r="F12" s="9" t="inlineStr">
        <is>
          <t>—</t>
        </is>
      </c>
      <c r="G12" s="9" t="inlineStr">
        <is>
          <t>—</t>
        </is>
      </c>
      <c r="H12" s="9" t="inlineStr">
        <is>
          <t>—</t>
        </is>
      </c>
      <c r="I12" s="9" t="inlineStr">
        <is>
          <t>—</t>
        </is>
      </c>
    </row>
    <row r="13" ht="22" customHeight="1">
      <c r="B13" s="14" t="inlineStr">
        <is>
          <t>ALB</t>
        </is>
      </c>
      <c r="C13" s="14" t="inlineStr">
        <is>
          <t>idle_timeout</t>
        </is>
      </c>
      <c r="D13" s="12" t="inlineStr">
        <is>
          <t>60秒</t>
        </is>
      </c>
      <c r="E13" s="12" t="inlineStr">
        <is>
          <t>60秒</t>
        </is>
      </c>
      <c r="F13" s="12" t="inlineStr">
        <is>
          <t>60秒</t>
        </is>
      </c>
      <c r="G13" s="12" t="inlineStr">
        <is>
          <t>60秒</t>
        </is>
      </c>
      <c r="H13" s="12" t="inlineStr">
        <is>
          <t>—</t>
        </is>
      </c>
      <c r="I13" s="12" t="inlineStr">
        <is>
          <t>イントラAPIが60秒を超えると ALB が504</t>
        </is>
      </c>
    </row>
    <row r="14" ht="22" customHeight="1">
      <c r="B14" s="13" t="inlineStr">
        <is>
          <t>ALB</t>
        </is>
      </c>
      <c r="C14" s="13" t="inlineStr">
        <is>
          <t>登録解除遅延（TG）</t>
        </is>
      </c>
      <c r="D14" s="9" t="inlineStr">
        <is>
          <t>300秒</t>
        </is>
      </c>
      <c r="E14" s="9" t="inlineStr">
        <is>
          <t>300秒</t>
        </is>
      </c>
      <c r="F14" s="9" t="inlineStr">
        <is>
          <t>300秒</t>
        </is>
      </c>
      <c r="G14" s="9" t="inlineStr">
        <is>
          <t>300秒</t>
        </is>
      </c>
      <c r="H14" s="9" t="inlineStr">
        <is>
          <t>—</t>
        </is>
      </c>
      <c r="I14" s="9" t="inlineStr">
        <is>
          <t>デプロイのたびに最大5分待つ</t>
        </is>
      </c>
    </row>
    <row r="15" ht="22" customHeight="1">
      <c r="B15" s="14" t="inlineStr">
        <is>
          <t>ECS</t>
        </is>
      </c>
      <c r="C15" s="14" t="inlineStr">
        <is>
          <t>stopTimeout</t>
        </is>
      </c>
      <c r="D15" s="12" t="inlineStr">
        <is>
          <t>30秒</t>
        </is>
      </c>
      <c r="E15" s="12" t="inlineStr">
        <is>
          <t>30秒</t>
        </is>
      </c>
      <c r="F15" s="12" t="inlineStr">
        <is>
          <t>30秒</t>
        </is>
      </c>
      <c r="G15" s="12" t="inlineStr">
        <is>
          <t>30秒</t>
        </is>
      </c>
      <c r="H15" s="12" t="inlineStr">
        <is>
          <t>—</t>
        </is>
      </c>
      <c r="I15" s="12" t="inlineStr">
        <is>
          <t>長い処理が強制終了される</t>
        </is>
      </c>
    </row>
    <row r="16" ht="37" customHeight="1">
      <c r="B16" s="13" t="inlineStr">
        <is>
          <t>JBoss Undertow</t>
        </is>
      </c>
      <c r="C16" s="13" t="inlineStr">
        <is>
          <t>no-request-timeout</t>
        </is>
      </c>
      <c r="D16" s="9" t="inlineStr">
        <is>
          <t>60,000ms</t>
        </is>
      </c>
      <c r="E16" s="9" t="inlineStr">
        <is>
          <t>60,000ms</t>
        </is>
      </c>
      <c r="F16" s="9" t="inlineStr">
        <is>
          <t>60,000ms</t>
        </is>
      </c>
      <c r="G16" s="9" t="inlineStr">
        <is>
          <t>60,000ms</t>
        </is>
      </c>
      <c r="H16" s="9" t="inlineStr">
        <is>
          <t>—</t>
        </is>
      </c>
      <c r="I16" s="9" t="inlineStr">
        <is>
          <t>ALB idle と同じ → 間欠的に502</t>
        </is>
      </c>
    </row>
    <row r="17" ht="37" customHeight="1">
      <c r="B17" s="14" t="inlineStr">
        <is>
          <t>JBoss JTA</t>
        </is>
      </c>
      <c r="C17" s="14" t="inlineStr">
        <is>
          <t>アプリ期限（default-timeout）</t>
        </is>
      </c>
      <c r="D17" s="12" t="inlineStr">
        <is>
          <t>300秒</t>
        </is>
      </c>
      <c r="E17" s="12" t="inlineStr">
        <is>
          <t>300秒</t>
        </is>
      </c>
      <c r="F17" s="12" t="inlineStr">
        <is>
          <t>300秒</t>
        </is>
      </c>
      <c r="G17" s="12" t="inlineStr">
        <is>
          <t>300秒</t>
        </is>
      </c>
      <c r="H17" s="12" t="inlineStr">
        <is>
          <t>（バッチ側の既定）</t>
        </is>
      </c>
      <c r="I17" s="12" t="inlineStr">
        <is>
          <t>API Gateway が29秒で504を返した後も、最大300秒処理が続く（ゾンビ処理）</t>
        </is>
      </c>
    </row>
    <row r="18" ht="37" customHeight="1">
      <c r="B18" s="13" t="inlineStr">
        <is>
          <t>JBoss データソース</t>
        </is>
      </c>
      <c r="C18" s="13" t="inlineStr">
        <is>
          <t>blocking-timeout-wait-millis</t>
        </is>
      </c>
      <c r="D18" s="9" t="inlineStr">
        <is>
          <t>30,000ms</t>
        </is>
      </c>
      <c r="E18" s="9" t="inlineStr">
        <is>
          <t>30,000ms</t>
        </is>
      </c>
      <c r="F18" s="9" t="inlineStr">
        <is>
          <t>30,000ms</t>
        </is>
      </c>
      <c r="G18" s="9" t="inlineStr">
        <is>
          <t>30,000ms</t>
        </is>
      </c>
      <c r="H18" s="9" t="inlineStr">
        <is>
          <t>—</t>
        </is>
      </c>
      <c r="I18" s="9" t="inlineStr">
        <is>
          <t>29秒を超えて待つ → API Gateway 504、スレッド枯渇</t>
        </is>
      </c>
    </row>
    <row r="19" ht="37" customHeight="1">
      <c r="B19" s="14" t="inlineStr">
        <is>
          <t>JBoss データソース</t>
        </is>
      </c>
      <c r="C19" s="14" t="inlineStr">
        <is>
          <t>query timeout</t>
        </is>
      </c>
      <c r="D19" s="12" t="inlineStr">
        <is>
          <t>なし／false</t>
        </is>
      </c>
      <c r="E19" s="12" t="inlineStr">
        <is>
          <t>なし／false</t>
        </is>
      </c>
      <c r="F19" s="12" t="inlineStr">
        <is>
          <t>なし／false</t>
        </is>
      </c>
      <c r="G19" s="12" t="inlineStr">
        <is>
          <t>なし／false</t>
        </is>
      </c>
      <c r="H19" s="12" t="inlineStr">
        <is>
          <t>なし</t>
        </is>
      </c>
      <c r="I19" s="12" t="inlineStr">
        <is>
          <t>SQLが止まらない</t>
        </is>
      </c>
    </row>
    <row r="20" ht="37" customHeight="1">
      <c r="B20" s="13" t="inlineStr">
        <is>
          <t>Aurora（SQL）</t>
        </is>
      </c>
      <c r="C20" s="13" t="inlineStr">
        <is>
          <t>SELECT 上限</t>
        </is>
      </c>
      <c r="D20" s="9" t="inlineStr">
        <is>
          <t>0（無制限）</t>
        </is>
      </c>
      <c r="E20" s="9" t="inlineStr">
        <is>
          <t>0</t>
        </is>
      </c>
      <c r="F20" s="9" t="inlineStr">
        <is>
          <t>0</t>
        </is>
      </c>
      <c r="G20" s="9" t="inlineStr">
        <is>
          <t>0</t>
        </is>
      </c>
      <c r="H20" s="9" t="inlineStr">
        <is>
          <t>0</t>
        </is>
      </c>
      <c r="I20" s="9" t="inlineStr">
        <is>
          <t>暴走SELECTが止まらない</t>
        </is>
      </c>
    </row>
    <row r="21" ht="37" customHeight="1">
      <c r="B21" s="14" t="inlineStr">
        <is>
          <t>Connector/J</t>
        </is>
      </c>
      <c r="C21" s="14" t="inlineStr">
        <is>
          <t>socketTimeout</t>
        </is>
      </c>
      <c r="D21" s="12" t="inlineStr">
        <is>
          <t>0（無制限）</t>
        </is>
      </c>
      <c r="E21" s="12" t="inlineStr">
        <is>
          <t>0</t>
        </is>
      </c>
      <c r="F21" s="12" t="inlineStr">
        <is>
          <t>0</t>
        </is>
      </c>
      <c r="G21" s="12" t="inlineStr">
        <is>
          <t>0</t>
        </is>
      </c>
      <c r="H21" s="12" t="inlineStr">
        <is>
          <t>0</t>
        </is>
      </c>
      <c r="I21" s="12" t="inlineStr">
        <is>
          <t>ネットワーク断でスレッドが永久に待つことがある</t>
        </is>
      </c>
    </row>
    <row r="22" ht="22" customHeight="1">
      <c r="B22" s="13" t="inlineStr">
        <is>
          <t>Connector/J</t>
        </is>
      </c>
      <c r="C22" s="13" t="inlineStr">
        <is>
          <t>connectTimeout</t>
        </is>
      </c>
      <c r="D22" s="9" t="inlineStr">
        <is>
          <t>0（無制限）</t>
        </is>
      </c>
      <c r="E22" s="9" t="inlineStr">
        <is>
          <t>0</t>
        </is>
      </c>
      <c r="F22" s="9" t="inlineStr">
        <is>
          <t>0</t>
        </is>
      </c>
      <c r="G22" s="9" t="inlineStr">
        <is>
          <t>0</t>
        </is>
      </c>
      <c r="H22" s="9" t="inlineStr">
        <is>
          <t>0</t>
        </is>
      </c>
      <c r="I22" s="9" t="inlineStr">
        <is>
          <t>接続先の異常で長く固まる</t>
        </is>
      </c>
    </row>
    <row r="23" ht="37" customHeight="1">
      <c r="B23" s="14" t="inlineStr">
        <is>
          <t>JBoss データソース</t>
        </is>
      </c>
      <c r="C23" s="14" t="inlineStr">
        <is>
          <t>idle-timeout-minutes</t>
        </is>
      </c>
      <c r="D23" s="12" t="inlineStr">
        <is>
          <t>30分</t>
        </is>
      </c>
      <c r="E23" s="12" t="inlineStr">
        <is>
          <t>30分</t>
        </is>
      </c>
      <c r="F23" s="12" t="inlineStr">
        <is>
          <t>30分</t>
        </is>
      </c>
      <c r="G23" s="12" t="inlineStr">
        <is>
          <t>30分</t>
        </is>
      </c>
      <c r="H23" s="12" t="inlineStr">
        <is>
          <t>—</t>
        </is>
      </c>
      <c r="I23" s="12" t="inlineStr">
        <is>
          <t>IdleClientTimeout（30分）と同じ → 切断済みの接続を掴む</t>
        </is>
      </c>
    </row>
    <row r="24" ht="37" customHeight="1">
      <c r="B24" s="13" t="inlineStr">
        <is>
          <t>RDS Proxy</t>
        </is>
      </c>
      <c r="C24" s="13" t="inlineStr">
        <is>
          <t>ConnectionBorrowTimeout</t>
        </is>
      </c>
      <c r="D24" s="9" t="inlineStr">
        <is>
          <t>120秒</t>
        </is>
      </c>
      <c r="E24" s="9" t="inlineStr">
        <is>
          <t>120秒</t>
        </is>
      </c>
      <c r="F24" s="9" t="inlineStr">
        <is>
          <t>120秒</t>
        </is>
      </c>
      <c r="G24" s="9" t="inlineStr">
        <is>
          <t>120秒</t>
        </is>
      </c>
      <c r="H24" s="9" t="inlineStr">
        <is>
          <t>120秒</t>
        </is>
      </c>
      <c r="I24" s="9" t="inlineStr">
        <is>
          <t>API Gateway の29秒を大きく超える</t>
        </is>
      </c>
    </row>
    <row r="25" ht="22" customHeight="1">
      <c r="B25" s="14" t="inlineStr">
        <is>
          <t>RDS Proxy</t>
        </is>
      </c>
      <c r="C25" s="14" t="inlineStr">
        <is>
          <t>IdleClientTimeout</t>
        </is>
      </c>
      <c r="D25" s="12" t="inlineStr">
        <is>
          <t>1,800秒</t>
        </is>
      </c>
      <c r="E25" s="12" t="inlineStr">
        <is>
          <t>1,800秒</t>
        </is>
      </c>
      <c r="F25" s="12" t="inlineStr">
        <is>
          <t>1,800秒</t>
        </is>
      </c>
      <c r="G25" s="12" t="inlineStr">
        <is>
          <t>1,800秒</t>
        </is>
      </c>
      <c r="H25" s="12" t="inlineStr">
        <is>
          <t>1,800秒</t>
        </is>
      </c>
      <c r="I25" s="12" t="inlineStr">
        <is>
          <t>—</t>
        </is>
      </c>
    </row>
    <row r="26" ht="37" customHeight="1">
      <c r="B26" s="13" t="inlineStr">
        <is>
          <t>RDS Proxy</t>
        </is>
      </c>
      <c r="C26" s="13" t="inlineStr">
        <is>
          <t>MaxConnectionsPercent</t>
        </is>
      </c>
      <c r="D26" s="9" t="inlineStr">
        <is>
          <t>100%</t>
        </is>
      </c>
      <c r="E26" s="9" t="inlineStr">
        <is>
          <t>100%</t>
        </is>
      </c>
      <c r="F26" s="9" t="inlineStr">
        <is>
          <t>100%</t>
        </is>
      </c>
      <c r="G26" s="9" t="inlineStr">
        <is>
          <t>100%</t>
        </is>
      </c>
      <c r="H26" s="9" t="inlineStr">
        <is>
          <t>100%</t>
        </is>
      </c>
      <c r="I26" s="9" t="inlineStr">
        <is>
          <t>バッチがオンラインの接続枠を食いつぶせる</t>
        </is>
      </c>
    </row>
    <row r="27" ht="37" customHeight="1">
      <c r="B27" s="14" t="inlineStr">
        <is>
          <t>Aurora</t>
        </is>
      </c>
      <c r="C27" s="14" t="inlineStr">
        <is>
          <t>innodb_lock_wait_timeout</t>
        </is>
      </c>
      <c r="D27" s="12" t="inlineStr">
        <is>
          <t>50秒</t>
        </is>
      </c>
      <c r="E27" s="12" t="inlineStr">
        <is>
          <t>50秒</t>
        </is>
      </c>
      <c r="F27" s="12" t="inlineStr">
        <is>
          <t>50秒</t>
        </is>
      </c>
      <c r="G27" s="12" t="inlineStr">
        <is>
          <t>50秒</t>
        </is>
      </c>
      <c r="H27" s="12" t="inlineStr">
        <is>
          <t>50秒</t>
        </is>
      </c>
      <c r="I27" s="12" t="inlineStr">
        <is>
          <t>API Gateway の29秒より長い</t>
        </is>
      </c>
    </row>
    <row r="28" ht="22" customHeight="1">
      <c r="B28" s="13" t="inlineStr">
        <is>
          <t>Aurora</t>
        </is>
      </c>
      <c r="C28" s="13" t="inlineStr">
        <is>
          <t>wait_timeout</t>
        </is>
      </c>
      <c r="D28" s="9" t="inlineStr">
        <is>
          <t>28,800秒</t>
        </is>
      </c>
      <c r="E28" s="9" t="inlineStr">
        <is>
          <t>28,800秒</t>
        </is>
      </c>
      <c r="F28" s="9" t="inlineStr">
        <is>
          <t>28,800秒</t>
        </is>
      </c>
      <c r="G28" s="9" t="inlineStr">
        <is>
          <t>28,800秒</t>
        </is>
      </c>
      <c r="H28" s="9" t="inlineStr">
        <is>
          <t>28,800秒</t>
        </is>
      </c>
      <c r="I28" s="9" t="inlineStr">
        <is>
          <t>—</t>
        </is>
      </c>
    </row>
    <row r="29" ht="10" customHeight="1"/>
    <row r="30" ht="24" customHeight="1">
      <c r="B30" s="5" t="inlineStr">
        <is>
          <t xml:space="preserve">　P1 共有・リクエスト単位調整型（イントラAPIの期限60秒）</t>
        </is>
      </c>
    </row>
    <row r="31" ht="4" customHeight="1"/>
    <row r="32" ht="36" customHeight="1">
      <c r="B32" s="22" t="inlineStr">
        <is>
          <t>ALB・ECSサービス・RDS Proxy を1つずつ共有したまま、メソッド単位の期限・set-tx-query-timeout・SQLヒントで経路別に調整します。構成は簡単ですが、共有値（ALB idle、借用待ち、socketTimeout）が最長の経路に引っ張られます。</t>
        </is>
      </c>
    </row>
    <row r="33" ht="38" customHeight="1">
      <c r="B33" s="6" t="inlineStr">
        <is>
          <t>レイヤ</t>
        </is>
      </c>
      <c r="C33" s="6" t="inlineStr">
        <is>
          <t>設定項目</t>
        </is>
      </c>
      <c r="D33" s="6" t="inlineStr">
        <is>
          <t>インターネットAPI</t>
        </is>
      </c>
      <c r="E33" s="6" t="inlineStr">
        <is>
          <t>Salesforce API</t>
        </is>
      </c>
      <c r="F33" s="6" t="inlineStr">
        <is>
          <t>イントラAPI（最重）</t>
        </is>
      </c>
      <c r="G33" s="6" t="inlineStr">
        <is>
          <t>イントラ画面</t>
        </is>
      </c>
      <c r="H33" s="6" t="inlineStr">
        <is>
          <t>バッチ</t>
        </is>
      </c>
      <c r="I33" s="6" t="inlineStr">
        <is>
          <t>根拠・メモ</t>
        </is>
      </c>
    </row>
    <row r="34" ht="67" customHeight="1">
      <c r="B34" s="13" t="inlineStr">
        <is>
          <t>構成</t>
        </is>
      </c>
      <c r="C34" s="13" t="inlineStr">
        <is>
          <t>部品の分け方</t>
        </is>
      </c>
      <c r="D34" s="9" t="inlineStr">
        <is>
          <t>ALB 1つ・ECS 1サービス・DBごとに Proxy 1つ（オンラインとバッチで共有）</t>
        </is>
      </c>
      <c r="E34" s="9" t="inlineStr">
        <is>
          <t>同左</t>
        </is>
      </c>
      <c r="F34" s="9" t="inlineStr">
        <is>
          <t>同左</t>
        </is>
      </c>
      <c r="G34" s="9" t="inlineStr">
        <is>
          <t>同左</t>
        </is>
      </c>
      <c r="H34" s="9" t="inlineStr">
        <is>
          <t>同じ Proxy を共有</t>
        </is>
      </c>
      <c r="I34" s="9" t="inlineStr">
        <is>
          <t>経路はパス／Host で識別し、メソッド単位で期限を設定。イントラAPIの期限は60秒に抑える</t>
        </is>
      </c>
    </row>
    <row r="35" ht="22" customHeight="1">
      <c r="B35" s="14" t="inlineStr">
        <is>
          <t>呼出元</t>
        </is>
      </c>
      <c r="C35" s="14" t="inlineStr">
        <is>
          <t>呼出元のタイムアウト</t>
        </is>
      </c>
      <c r="D35" s="12" t="inlineStr">
        <is>
          <t>40秒</t>
        </is>
      </c>
      <c r="E35" s="12" t="inlineStr">
        <is>
          <t>setTimeout(40000)</t>
        </is>
      </c>
      <c r="F35" s="12" t="inlineStr">
        <is>
          <t>100秒</t>
        </is>
      </c>
      <c r="G35" s="12" t="inlineStr">
        <is>
          <t>40秒（JS）</t>
        </is>
      </c>
      <c r="H35" s="12" t="inlineStr">
        <is>
          <t>ジョブ管理側</t>
        </is>
      </c>
      <c r="I35" s="12" t="inlineStr">
        <is>
          <t>—</t>
        </is>
      </c>
    </row>
    <row r="36" ht="22" customHeight="1">
      <c r="B36" s="13" t="inlineStr">
        <is>
          <t>API Gateway</t>
        </is>
      </c>
      <c r="C36" s="13" t="inlineStr">
        <is>
          <t>統合タイムアウト</t>
        </is>
      </c>
      <c r="D36" s="9" t="inlineStr">
        <is>
          <t>29秒</t>
        </is>
      </c>
      <c r="E36" s="9" t="inlineStr">
        <is>
          <t>29秒</t>
        </is>
      </c>
      <c r="F36" s="9" t="inlineStr">
        <is>
          <t>—</t>
        </is>
      </c>
      <c r="G36" s="9" t="inlineStr">
        <is>
          <t>—</t>
        </is>
      </c>
      <c r="H36" s="9" t="inlineStr">
        <is>
          <t>—</t>
        </is>
      </c>
      <c r="I36" s="9" t="inlineStr">
        <is>
          <t>—</t>
        </is>
      </c>
    </row>
    <row r="37" ht="22" customHeight="1">
      <c r="B37" s="14" t="inlineStr">
        <is>
          <t>ALB</t>
        </is>
      </c>
      <c r="C37" s="14" t="inlineStr">
        <is>
          <t>idle_timeout</t>
        </is>
      </c>
      <c r="D37" s="12" t="inlineStr">
        <is>
          <t>90秒（共有）</t>
        </is>
      </c>
      <c r="E37" s="12" t="inlineStr">
        <is>
          <t>90秒（共有）</t>
        </is>
      </c>
      <c r="F37" s="12" t="inlineStr">
        <is>
          <t>90秒（共有）</t>
        </is>
      </c>
      <c r="G37" s="12" t="inlineStr">
        <is>
          <t>90秒（共有）</t>
        </is>
      </c>
      <c r="H37" s="12" t="inlineStr">
        <is>
          <t>—</t>
        </is>
      </c>
      <c r="I37" s="12" t="inlineStr">
        <is>
          <t>最長（イントラ60秒）＋30秒</t>
        </is>
      </c>
    </row>
    <row r="38" ht="22" customHeight="1">
      <c r="B38" s="13" t="inlineStr">
        <is>
          <t>ALB</t>
        </is>
      </c>
      <c r="C38" s="13" t="inlineStr">
        <is>
          <t>登録解除遅延（TG）</t>
        </is>
      </c>
      <c r="D38" s="9" t="inlineStr">
        <is>
          <t>75秒（共有）</t>
        </is>
      </c>
      <c r="E38" s="9" t="inlineStr">
        <is>
          <t>75秒</t>
        </is>
      </c>
      <c r="F38" s="9" t="inlineStr">
        <is>
          <t>75秒</t>
        </is>
      </c>
      <c r="G38" s="9" t="inlineStr">
        <is>
          <t>75秒</t>
        </is>
      </c>
      <c r="H38" s="9" t="inlineStr">
        <is>
          <t>—</t>
        </is>
      </c>
      <c r="I38" s="9" t="inlineStr">
        <is>
          <t>TGが1つなので最長に合わせる</t>
        </is>
      </c>
    </row>
    <row r="39" ht="22" customHeight="1">
      <c r="B39" s="14" t="inlineStr">
        <is>
          <t>ECS</t>
        </is>
      </c>
      <c r="C39" s="14" t="inlineStr">
        <is>
          <t>stopTimeout</t>
        </is>
      </c>
      <c r="D39" s="12" t="inlineStr">
        <is>
          <t>30秒</t>
        </is>
      </c>
      <c r="E39" s="12" t="inlineStr">
        <is>
          <t>30秒</t>
        </is>
      </c>
      <c r="F39" s="12" t="inlineStr">
        <is>
          <t>30秒</t>
        </is>
      </c>
      <c r="G39" s="12" t="inlineStr">
        <is>
          <t>30秒</t>
        </is>
      </c>
      <c r="H39" s="12" t="inlineStr">
        <is>
          <t>—</t>
        </is>
      </c>
      <c r="I39" s="12" t="inlineStr">
        <is>
          <t>—</t>
        </is>
      </c>
    </row>
    <row r="40" ht="37" customHeight="1">
      <c r="B40" s="13" t="inlineStr">
        <is>
          <t>JBoss Undertow</t>
        </is>
      </c>
      <c r="C40" s="13" t="inlineStr">
        <is>
          <t>no-request-timeout</t>
        </is>
      </c>
      <c r="D40" s="9" t="inlineStr">
        <is>
          <t>105,000ms</t>
        </is>
      </c>
      <c r="E40" s="9" t="inlineStr">
        <is>
          <t>105,000ms</t>
        </is>
      </c>
      <c r="F40" s="9" t="inlineStr">
        <is>
          <t>105,000ms</t>
        </is>
      </c>
      <c r="G40" s="9" t="inlineStr">
        <is>
          <t>105,000ms</t>
        </is>
      </c>
      <c r="H40" s="9" t="inlineStr">
        <is>
          <t>—</t>
        </is>
      </c>
      <c r="I40" s="9" t="inlineStr">
        <is>
          <t>ALB 90秒＋15秒</t>
        </is>
      </c>
    </row>
    <row r="41" ht="52" customHeight="1">
      <c r="B41" s="14" t="inlineStr">
        <is>
          <t>JBoss JTA</t>
        </is>
      </c>
      <c r="C41" s="14" t="inlineStr">
        <is>
          <t>アプリ期限</t>
        </is>
      </c>
      <c r="D41" s="12" t="inlineStr">
        <is>
          <t>25秒（default-timeout＝25）</t>
        </is>
      </c>
      <c r="E41" s="12" t="inlineStr">
        <is>
          <t>25秒（default-timeout）</t>
        </is>
      </c>
      <c r="F41" s="12" t="inlineStr">
        <is>
          <t>60秒（@TransactionTimeout）</t>
        </is>
      </c>
      <c r="G41" s="12" t="inlineStr">
        <is>
          <t>30秒（@TransactionTimeout）</t>
        </is>
      </c>
      <c r="H41" s="12" t="inlineStr">
        <is>
          <t>チャンク単位300秒</t>
        </is>
      </c>
      <c r="I41" s="12" t="inlineStr">
        <is>
          <t>サーバ既定は一番厳しい25秒にし、長い処理だけ個別に延ばす</t>
        </is>
      </c>
    </row>
    <row r="42" ht="37" customHeight="1">
      <c r="B42" s="13" t="inlineStr">
        <is>
          <t>JBoss データソース</t>
        </is>
      </c>
      <c r="C42" s="13" t="inlineStr">
        <is>
          <t>blocking-timeout-wait-millis</t>
        </is>
      </c>
      <c r="D42" s="9" t="inlineStr">
        <is>
          <t>5,000ms（共有DS）</t>
        </is>
      </c>
      <c r="E42" s="9" t="inlineStr">
        <is>
          <t>5,000ms</t>
        </is>
      </c>
      <c r="F42" s="9" t="inlineStr">
        <is>
          <t>5,000ms</t>
        </is>
      </c>
      <c r="G42" s="9" t="inlineStr">
        <is>
          <t>5,000ms</t>
        </is>
      </c>
      <c r="H42" s="9" t="inlineStr">
        <is>
          <t>30,000ms</t>
        </is>
      </c>
      <c r="I42" s="9" t="inlineStr">
        <is>
          <t>データソース共有のため1つの値</t>
        </is>
      </c>
    </row>
    <row r="43" ht="37" customHeight="1">
      <c r="B43" s="14" t="inlineStr">
        <is>
          <t>JBoss データソース</t>
        </is>
      </c>
      <c r="C43" s="14" t="inlineStr">
        <is>
          <t>query timeout</t>
        </is>
      </c>
      <c r="D43" s="12" t="inlineStr">
        <is>
          <t>set-tx-query-timeout＝true／20秒</t>
        </is>
      </c>
      <c r="E43" s="12" t="inlineStr">
        <is>
          <t>true／20秒</t>
        </is>
      </c>
      <c r="F43" s="12" t="inlineStr">
        <is>
          <t>true（残り時間が自動適用）</t>
        </is>
      </c>
      <c r="G43" s="12" t="inlineStr">
        <is>
          <t>true</t>
        </is>
      </c>
      <c r="H43" s="12" t="inlineStr">
        <is>
          <t>setQueryTimeout 900秒</t>
        </is>
      </c>
      <c r="I43" s="12" t="inlineStr">
        <is>
          <t>set-tx-query-timeout なら共有DSでも経路別になる</t>
        </is>
      </c>
    </row>
    <row r="44" ht="37" customHeight="1">
      <c r="B44" s="13" t="inlineStr">
        <is>
          <t>Aurora（SQL）</t>
        </is>
      </c>
      <c r="C44" s="13" t="inlineStr">
        <is>
          <t>SELECT 上限（ヒント）</t>
        </is>
      </c>
      <c r="D44" s="9" t="inlineStr">
        <is>
          <t>20,000ms</t>
        </is>
      </c>
      <c r="E44" s="9" t="inlineStr">
        <is>
          <t>20,000ms</t>
        </is>
      </c>
      <c r="F44" s="9" t="inlineStr">
        <is>
          <t>55,000ms</t>
        </is>
      </c>
      <c r="G44" s="9" t="inlineStr">
        <is>
          <t>25,000ms</t>
        </is>
      </c>
      <c r="H44" s="9" t="inlineStr">
        <is>
          <t>0</t>
        </is>
      </c>
      <c r="I44" s="9" t="inlineStr">
        <is>
          <t>ヒントはSQL単位なので経路別にできる</t>
        </is>
      </c>
    </row>
    <row r="45" ht="22" customHeight="1">
      <c r="B45" s="14" t="inlineStr">
        <is>
          <t>Connector/J</t>
        </is>
      </c>
      <c r="C45" s="14" t="inlineStr">
        <is>
          <t>socketTimeout</t>
        </is>
      </c>
      <c r="D45" s="12" t="inlineStr">
        <is>
          <t>70,000ms（共有DS）</t>
        </is>
      </c>
      <c r="E45" s="12" t="inlineStr">
        <is>
          <t>70,000ms</t>
        </is>
      </c>
      <c r="F45" s="12" t="inlineStr">
        <is>
          <t>70,000ms</t>
        </is>
      </c>
      <c r="G45" s="12" t="inlineStr">
        <is>
          <t>70,000ms</t>
        </is>
      </c>
      <c r="H45" s="12" t="inlineStr">
        <is>
          <t>1,800,000ms</t>
        </is>
      </c>
      <c r="I45" s="12" t="inlineStr">
        <is>
          <t>共有DSでは最長期限（60秒）＋10秒</t>
        </is>
      </c>
    </row>
    <row r="46" ht="22" customHeight="1">
      <c r="B46" s="13" t="inlineStr">
        <is>
          <t>Connector/J</t>
        </is>
      </c>
      <c r="C46" s="13" t="inlineStr">
        <is>
          <t>connectTimeout</t>
        </is>
      </c>
      <c r="D46" s="9" t="inlineStr">
        <is>
          <t>5,000ms</t>
        </is>
      </c>
      <c r="E46" s="9" t="inlineStr">
        <is>
          <t>5,000ms</t>
        </is>
      </c>
      <c r="F46" s="9" t="inlineStr">
        <is>
          <t>5,000ms</t>
        </is>
      </c>
      <c r="G46" s="9" t="inlineStr">
        <is>
          <t>5,000ms</t>
        </is>
      </c>
      <c r="H46" s="9" t="inlineStr">
        <is>
          <t>10,000ms</t>
        </is>
      </c>
      <c r="I46" s="9" t="inlineStr">
        <is>
          <t>—</t>
        </is>
      </c>
    </row>
    <row r="47" ht="37" customHeight="1">
      <c r="B47" s="14" t="inlineStr">
        <is>
          <t>JBoss データソース</t>
        </is>
      </c>
      <c r="C47" s="14" t="inlineStr">
        <is>
          <t>idle-timeout-minutes</t>
        </is>
      </c>
      <c r="D47" s="12" t="inlineStr">
        <is>
          <t>10分</t>
        </is>
      </c>
      <c r="E47" s="12" t="inlineStr">
        <is>
          <t>10分</t>
        </is>
      </c>
      <c r="F47" s="12" t="inlineStr">
        <is>
          <t>10分</t>
        </is>
      </c>
      <c r="G47" s="12" t="inlineStr">
        <is>
          <t>10分</t>
        </is>
      </c>
      <c r="H47" s="12" t="inlineStr">
        <is>
          <t>10分</t>
        </is>
      </c>
      <c r="I47" s="12" t="inlineStr">
        <is>
          <t>—</t>
        </is>
      </c>
    </row>
    <row r="48" ht="37" customHeight="1">
      <c r="B48" s="13" t="inlineStr">
        <is>
          <t>RDS Proxy</t>
        </is>
      </c>
      <c r="C48" s="13" t="inlineStr">
        <is>
          <t>ConnectionBorrowTimeout</t>
        </is>
      </c>
      <c r="D48" s="9" t="inlineStr">
        <is>
          <t>20秒（共有）</t>
        </is>
      </c>
      <c r="E48" s="9" t="inlineStr">
        <is>
          <t>20秒（共有）</t>
        </is>
      </c>
      <c r="F48" s="9" t="inlineStr">
        <is>
          <t>20秒（共有）</t>
        </is>
      </c>
      <c r="G48" s="9" t="inlineStr">
        <is>
          <t>20秒（共有）</t>
        </is>
      </c>
      <c r="H48" s="9" t="inlineStr">
        <is>
          <t>20秒（共有）→借用失敗時のリトライ必須</t>
        </is>
      </c>
      <c r="I48" s="9" t="inlineStr">
        <is>
          <t>オンラインとバッチの妥協値。ここが P1 の弱点</t>
        </is>
      </c>
    </row>
    <row r="49" ht="52" customHeight="1">
      <c r="B49" s="14" t="inlineStr">
        <is>
          <t>RDS Proxy</t>
        </is>
      </c>
      <c r="C49" s="14" t="inlineStr">
        <is>
          <t>IdleClientTimeout</t>
        </is>
      </c>
      <c r="D49" s="12" t="inlineStr">
        <is>
          <t>1,800秒（共有）</t>
        </is>
      </c>
      <c r="E49" s="12" t="inlineStr">
        <is>
          <t>1,800秒</t>
        </is>
      </c>
      <c r="F49" s="12" t="inlineStr">
        <is>
          <t>1,800秒</t>
        </is>
      </c>
      <c r="G49" s="12" t="inlineStr">
        <is>
          <t>1,800秒</t>
        </is>
      </c>
      <c r="H49" s="12" t="inlineStr">
        <is>
          <t>1,800秒（ステップ間は接続を返却して取り直す）</t>
        </is>
      </c>
      <c r="I49" s="12" t="inlineStr">
        <is>
          <t>—</t>
        </is>
      </c>
    </row>
    <row r="50" ht="37" customHeight="1">
      <c r="B50" s="13" t="inlineStr">
        <is>
          <t>RDS Proxy</t>
        </is>
      </c>
      <c r="C50" s="13" t="inlineStr">
        <is>
          <t>MaxConnectionsPercent</t>
        </is>
      </c>
      <c r="D50" s="9" t="inlineStr">
        <is>
          <t>90%（共有）</t>
        </is>
      </c>
      <c r="E50" s="9" t="inlineStr">
        <is>
          <t>90%</t>
        </is>
      </c>
      <c r="F50" s="9" t="inlineStr">
        <is>
          <t>90%</t>
        </is>
      </c>
      <c r="G50" s="9" t="inlineStr">
        <is>
          <t>90%</t>
        </is>
      </c>
      <c r="H50" s="9" t="inlineStr">
        <is>
          <t>90%（共有）</t>
        </is>
      </c>
      <c r="I50" s="9" t="inlineStr">
        <is>
          <t>バッチの並列度はアプリ側で制限する</t>
        </is>
      </c>
    </row>
    <row r="51" ht="67" customHeight="1">
      <c r="B51" s="14" t="inlineStr">
        <is>
          <t>Aurora</t>
        </is>
      </c>
      <c r="C51" s="14" t="inlineStr">
        <is>
          <t>innodb_lock_wait_timeout</t>
        </is>
      </c>
      <c r="D51" s="12" t="inlineStr">
        <is>
          <t>10秒（クラスタパラメータで全体）</t>
        </is>
      </c>
      <c r="E51" s="12" t="inlineStr">
        <is>
          <t>10秒</t>
        </is>
      </c>
      <c r="F51" s="12" t="inlineStr">
        <is>
          <t>10秒</t>
        </is>
      </c>
      <c r="G51" s="12" t="inlineStr">
        <is>
          <t>10秒</t>
        </is>
      </c>
      <c r="H51" s="12" t="inlineStr">
        <is>
          <t>120秒をセッションで SET（ピン留めされるが、バッチは少数の長い接続なので許容）</t>
        </is>
      </c>
      <c r="I51" s="12" t="inlineStr">
        <is>
          <t>—</t>
        </is>
      </c>
    </row>
    <row r="52" ht="22" customHeight="1">
      <c r="B52" s="13" t="inlineStr">
        <is>
          <t>Aurora</t>
        </is>
      </c>
      <c r="C52" s="13" t="inlineStr">
        <is>
          <t>wait_timeout</t>
        </is>
      </c>
      <c r="D52" s="9" t="inlineStr">
        <is>
          <t>28,800秒</t>
        </is>
      </c>
      <c r="E52" s="9" t="inlineStr">
        <is>
          <t>28,800秒</t>
        </is>
      </c>
      <c r="F52" s="9" t="inlineStr">
        <is>
          <t>28,800秒</t>
        </is>
      </c>
      <c r="G52" s="9" t="inlineStr">
        <is>
          <t>28,800秒</t>
        </is>
      </c>
      <c r="H52" s="9" t="inlineStr">
        <is>
          <t>28,800秒</t>
        </is>
      </c>
      <c r="I52" s="9" t="inlineStr">
        <is>
          <t>—</t>
        </is>
      </c>
    </row>
    <row r="53" ht="10" customHeight="1"/>
    <row r="54" ht="24" customHeight="1">
      <c r="B54" s="5" t="inlineStr">
        <is>
          <t xml:space="preserve">　P2 経路分離型（推奨）</t>
        </is>
      </c>
    </row>
    <row r="55" ht="4" customHeight="1"/>
    <row r="56" ht="21" customHeight="1">
      <c r="B56" s="22" t="inlineStr">
        <is>
          <t>06_推奨値_P2 と同じ内容です。</t>
        </is>
      </c>
    </row>
    <row r="57" ht="38" customHeight="1">
      <c r="B57" s="6" t="inlineStr">
        <is>
          <t>レイヤ</t>
        </is>
      </c>
      <c r="C57" s="6" t="inlineStr">
        <is>
          <t>設定項目</t>
        </is>
      </c>
      <c r="D57" s="6" t="inlineStr">
        <is>
          <t>インターネットAPI</t>
        </is>
      </c>
      <c r="E57" s="6" t="inlineStr">
        <is>
          <t>Salesforce API</t>
        </is>
      </c>
      <c r="F57" s="6" t="inlineStr">
        <is>
          <t>イントラAPI（最重）</t>
        </is>
      </c>
      <c r="G57" s="6" t="inlineStr">
        <is>
          <t>イントラ画面</t>
        </is>
      </c>
      <c r="H57" s="6" t="inlineStr">
        <is>
          <t>バッチ</t>
        </is>
      </c>
      <c r="I57" s="6" t="inlineStr">
        <is>
          <t>根拠・メモ</t>
        </is>
      </c>
    </row>
    <row r="58" ht="37" customHeight="1">
      <c r="B58" s="13" t="inlineStr">
        <is>
          <t>構成</t>
        </is>
      </c>
      <c r="C58" s="13" t="inlineStr">
        <is>
          <t>部品の分け方</t>
        </is>
      </c>
      <c r="D58" s="9" t="inlineStr">
        <is>
          <t>ALB-1＋ECSサービスA（外部API）</t>
        </is>
      </c>
      <c r="E58" s="9" t="inlineStr">
        <is>
          <t>ALB-1＋ECSサービスA（外部API）</t>
        </is>
      </c>
      <c r="F58" s="9" t="inlineStr">
        <is>
          <t>ALB-2＋ECSサービスB（イントラAPI専用）</t>
        </is>
      </c>
      <c r="G58" s="9" t="inlineStr">
        <is>
          <t>ALB-2＋ECSサービスC（画面）</t>
        </is>
      </c>
      <c r="H58" s="9" t="inlineStr">
        <is>
          <t>バッチ用 RDS Proxy</t>
        </is>
      </c>
      <c r="I58" s="9" t="inlineStr">
        <is>
          <t>DBが2つなら Proxy はオンライン用×2＋バッチ用×2 の計4つ</t>
        </is>
      </c>
    </row>
    <row r="59" ht="67" customHeight="1">
      <c r="B59" s="14" t="inlineStr">
        <is>
          <t>呼出元</t>
        </is>
      </c>
      <c r="C59" s="14" t="inlineStr">
        <is>
          <t>呼出元のタイムアウト</t>
        </is>
      </c>
      <c r="D59" s="12" t="inlineStr">
        <is>
          <t>40秒（SDK・連携先に明示。冪等キー＋指数バックオフで最大2回再試行）</t>
        </is>
      </c>
      <c r="E59" s="12" t="inlineStr">
        <is>
          <t>setTimeout(40000)（最大120,000、1トランザクション累計120秒）</t>
        </is>
      </c>
      <c r="F59" s="12" t="inlineStr">
        <is>
          <t>160秒（社内クライアントのHTTP読み取りTO。社内プロキシ・FWのタイマーも確認）</t>
        </is>
      </c>
      <c r="G59" s="12" t="inlineStr">
        <is>
          <t>40秒（JS の AbortController。二度押し防止）</t>
        </is>
      </c>
      <c r="H59" s="12" t="inlineStr">
        <is>
          <t>ジョブ管理側で想定時間の2〜3倍</t>
        </is>
      </c>
      <c r="I59" s="12" t="inlineStr">
        <is>
          <t>外側ほど長く。画面は「人が待つ」ため例外的に短め（アプリが30秒で必ず応答する）</t>
        </is>
      </c>
    </row>
    <row r="60" ht="22" customHeight="1">
      <c r="B60" s="13" t="inlineStr">
        <is>
          <t>API Gateway</t>
        </is>
      </c>
      <c r="C60" s="13" t="inlineStr">
        <is>
          <t>統合タイムアウト</t>
        </is>
      </c>
      <c r="D60" s="9" t="inlineStr">
        <is>
          <t>29秒（29,000ms）</t>
        </is>
      </c>
      <c r="E60" s="9" t="inlineStr">
        <is>
          <t>29秒（29,000ms）</t>
        </is>
      </c>
      <c r="F60" s="9" t="inlineStr">
        <is>
          <t>—</t>
        </is>
      </c>
      <c r="G60" s="9" t="inlineStr">
        <is>
          <t>—</t>
        </is>
      </c>
      <c r="H60" s="9" t="inlineStr">
        <is>
          <t>—</t>
        </is>
      </c>
      <c r="I60" s="9" t="inlineStr">
        <is>
          <t>アプリ期限25秒＋4秒。29秒は既定の上限</t>
        </is>
      </c>
    </row>
    <row r="61" ht="37" customHeight="1">
      <c r="B61" s="14" t="inlineStr">
        <is>
          <t>ALB</t>
        </is>
      </c>
      <c r="C61" s="14" t="inlineStr">
        <is>
          <t>idle_timeout</t>
        </is>
      </c>
      <c r="D61" s="12" t="inlineStr">
        <is>
          <t>ALB-1：60秒</t>
        </is>
      </c>
      <c r="E61" s="12" t="inlineStr">
        <is>
          <t>ALB-1：60秒</t>
        </is>
      </c>
      <c r="F61" s="12" t="inlineStr">
        <is>
          <t>ALB-2：150秒</t>
        </is>
      </c>
      <c r="G61" s="12" t="inlineStr">
        <is>
          <t>ALB-2：150秒（イントラAPIと共有）</t>
        </is>
      </c>
      <c r="H61" s="12" t="inlineStr">
        <is>
          <t>—</t>
        </is>
      </c>
      <c r="I61" s="12" t="inlineStr">
        <is>
          <t>LB単位で1つ。そのALB上の最長アプリ期限＋30秒（最低60秒）</t>
        </is>
      </c>
    </row>
    <row r="62" ht="37" customHeight="1">
      <c r="B62" s="13" t="inlineStr">
        <is>
          <t>ALB</t>
        </is>
      </c>
      <c r="C62" s="13" t="inlineStr">
        <is>
          <t>登録解除遅延（TG）</t>
        </is>
      </c>
      <c r="D62" s="9" t="inlineStr">
        <is>
          <t>40秒</t>
        </is>
      </c>
      <c r="E62" s="9" t="inlineStr">
        <is>
          <t>40秒</t>
        </is>
      </c>
      <c r="F62" s="9" t="inlineStr">
        <is>
          <t>135秒</t>
        </is>
      </c>
      <c r="G62" s="9" t="inlineStr">
        <is>
          <t>45秒</t>
        </is>
      </c>
      <c r="H62" s="9" t="inlineStr">
        <is>
          <t>—</t>
        </is>
      </c>
      <c r="I62" s="9" t="inlineStr">
        <is>
          <t>TG単位。アプリ期限＋15秒。長すぎるとデプロイが遅くなる（既定300秒）</t>
        </is>
      </c>
    </row>
    <row r="63" ht="37" customHeight="1">
      <c r="B63" s="14" t="inlineStr">
        <is>
          <t>ECS</t>
        </is>
      </c>
      <c r="C63" s="14" t="inlineStr">
        <is>
          <t>stopTimeout</t>
        </is>
      </c>
      <c r="D63" s="12" t="inlineStr">
        <is>
          <t>30秒</t>
        </is>
      </c>
      <c r="E63" s="12" t="inlineStr">
        <is>
          <t>30秒</t>
        </is>
      </c>
      <c r="F63" s="12" t="inlineStr">
        <is>
          <t>60秒</t>
        </is>
      </c>
      <c r="G63" s="12" t="inlineStr">
        <is>
          <t>30秒</t>
        </is>
      </c>
      <c r="H63" s="12" t="inlineStr">
        <is>
          <t>—</t>
        </is>
      </c>
      <c r="I63" s="12" t="inlineStr">
        <is>
          <t>最大120秒。ALBの登録解除（ドレイン）完了後に SIGTERM が送られる</t>
        </is>
      </c>
    </row>
    <row r="64" ht="37" customHeight="1">
      <c r="B64" s="13" t="inlineStr">
        <is>
          <t>JBoss Undertow</t>
        </is>
      </c>
      <c r="C64" s="13" t="inlineStr">
        <is>
          <t>no-request-timeout</t>
        </is>
      </c>
      <c r="D64" s="9" t="inlineStr">
        <is>
          <t>75,000ms</t>
        </is>
      </c>
      <c r="E64" s="9" t="inlineStr">
        <is>
          <t>75,000ms</t>
        </is>
      </c>
      <c r="F64" s="9" t="inlineStr">
        <is>
          <t>165,000ms</t>
        </is>
      </c>
      <c r="G64" s="9" t="inlineStr">
        <is>
          <t>165,000ms</t>
        </is>
      </c>
      <c r="H64" s="9" t="inlineStr">
        <is>
          <t>—</t>
        </is>
      </c>
      <c r="I64" s="9" t="inlineStr">
        <is>
          <t>ALB idle＋15秒。同じか短いと間欠的に502</t>
        </is>
      </c>
    </row>
    <row r="65" ht="52" customHeight="1">
      <c r="B65" s="14" t="inlineStr">
        <is>
          <t>JBoss JTA</t>
        </is>
      </c>
      <c r="C65" s="14" t="inlineStr">
        <is>
          <t>アプリ期限（default-timeout）</t>
        </is>
      </c>
      <c r="D65" s="12" t="inlineStr">
        <is>
          <t>25秒（サービスAのサーバ既定）</t>
        </is>
      </c>
      <c r="E65" s="12" t="inlineStr">
        <is>
          <t>25秒（サービスAのサーバ既定）</t>
        </is>
      </c>
      <c r="F65" s="12" t="inlineStr">
        <is>
          <t>120秒（サービスBのサーバ既定）</t>
        </is>
      </c>
      <c r="G65" s="12" t="inlineStr">
        <is>
          <t>30秒（サービスCのサーバ既定）</t>
        </is>
      </c>
      <c r="H65" s="12" t="inlineStr">
        <is>
          <t>チャンク単位300秒（例：1,000件ごとにコミット）</t>
        </is>
      </c>
      <c r="I65" s="12" t="inlineStr">
        <is>
          <t>経路の「応答期限」そのもの</t>
        </is>
      </c>
    </row>
    <row r="66" ht="37" customHeight="1">
      <c r="B66" s="13" t="inlineStr">
        <is>
          <t>JBoss データソース</t>
        </is>
      </c>
      <c r="C66" s="13" t="inlineStr">
        <is>
          <t>blocking-timeout-wait-millis</t>
        </is>
      </c>
      <c r="D66" s="9" t="inlineStr">
        <is>
          <t>3,000ms</t>
        </is>
      </c>
      <c r="E66" s="9" t="inlineStr">
        <is>
          <t>3,000ms</t>
        </is>
      </c>
      <c r="F66" s="9" t="inlineStr">
        <is>
          <t>10,000ms</t>
        </is>
      </c>
      <c r="G66" s="9" t="inlineStr">
        <is>
          <t>4,000ms</t>
        </is>
      </c>
      <c r="H66" s="9" t="inlineStr">
        <is>
          <t>30,000ms（バッチ側プールの取得待ち）</t>
        </is>
      </c>
      <c r="I66" s="9" t="inlineStr">
        <is>
          <t>期限の約12%（2〜10秒）。待たせずに早く失敗＝連鎖障害の防止</t>
        </is>
      </c>
    </row>
    <row r="67" ht="82" customHeight="1">
      <c r="B67" s="14" t="inlineStr">
        <is>
          <t>JBoss データソース</t>
        </is>
      </c>
      <c r="C67" s="14" t="inlineStr">
        <is>
          <t>query timeout</t>
        </is>
      </c>
      <c r="D67" s="12" t="inlineStr">
        <is>
          <t>set-tx-query-timeout＝true／query-timeout＝20秒</t>
        </is>
      </c>
      <c r="E67" s="12" t="inlineStr">
        <is>
          <t>set-tx-query-timeout＝true／query-timeout＝20秒</t>
        </is>
      </c>
      <c r="F67" s="12" t="inlineStr">
        <is>
          <t>true／115秒</t>
        </is>
      </c>
      <c r="G67" s="12" t="inlineStr">
        <is>
          <t>true／25秒</t>
        </is>
      </c>
      <c r="H67" s="12" t="inlineStr">
        <is>
          <t>setQueryTimeout 900秒（読み取りSQLごと。カーソル読み取りはチャンクのトランザクションの外）</t>
        </is>
      </c>
      <c r="I67" s="12" t="inlineStr">
        <is>
          <t>トランザクション内は残り時間が自動で入る。中断の仕組みは RDS Proxy 経由で【要検証】</t>
        </is>
      </c>
    </row>
    <row r="68" ht="52" customHeight="1">
      <c r="B68" s="13" t="inlineStr">
        <is>
          <t>Aurora（SQL）</t>
        </is>
      </c>
      <c r="C68" s="13" t="inlineStr">
        <is>
          <t>SELECT 上限（MAX_EXECUTION_TIME ヒント）</t>
        </is>
      </c>
      <c r="D68" s="9" t="inlineStr">
        <is>
          <t>20,000ms</t>
        </is>
      </c>
      <c r="E68" s="9" t="inlineStr">
        <is>
          <t>20,000ms</t>
        </is>
      </c>
      <c r="F68" s="9" t="inlineStr">
        <is>
          <t>115,000ms</t>
        </is>
      </c>
      <c r="G68" s="9" t="inlineStr">
        <is>
          <t>25,000ms</t>
        </is>
      </c>
      <c r="H68" s="9" t="inlineStr">
        <is>
          <t>0（無制限。必要なジョブだけヒント）</t>
        </is>
      </c>
      <c r="I68" s="9" t="inlineStr">
        <is>
          <t>SELECT のみ。DB側で確実に止める保険</t>
        </is>
      </c>
    </row>
    <row r="69" ht="37" customHeight="1">
      <c r="B69" s="14" t="inlineStr">
        <is>
          <t>Connector/J</t>
        </is>
      </c>
      <c r="C69" s="14" t="inlineStr">
        <is>
          <t>socketTimeout</t>
        </is>
      </c>
      <c r="D69" s="12" t="inlineStr">
        <is>
          <t>35,000ms</t>
        </is>
      </c>
      <c r="E69" s="12" t="inlineStr">
        <is>
          <t>35,000ms</t>
        </is>
      </c>
      <c r="F69" s="12" t="inlineStr">
        <is>
          <t>130,000ms</t>
        </is>
      </c>
      <c r="G69" s="12" t="inlineStr">
        <is>
          <t>40,000ms</t>
        </is>
      </c>
      <c r="H69" s="12" t="inlineStr">
        <is>
          <t>1,800,000ms（最長SQL×2）</t>
        </is>
      </c>
      <c r="I69" s="12" t="inlineStr">
        <is>
          <t>最後の安全ベルト。正当な処理より必ず長く</t>
        </is>
      </c>
    </row>
    <row r="70" ht="37" customHeight="1">
      <c r="B70" s="13" t="inlineStr">
        <is>
          <t>Connector/J</t>
        </is>
      </c>
      <c r="C70" s="13" t="inlineStr">
        <is>
          <t>connectTimeout</t>
        </is>
      </c>
      <c r="D70" s="9" t="inlineStr">
        <is>
          <t>5,000ms</t>
        </is>
      </c>
      <c r="E70" s="9" t="inlineStr">
        <is>
          <t>5,000ms</t>
        </is>
      </c>
      <c r="F70" s="9" t="inlineStr">
        <is>
          <t>5,000ms</t>
        </is>
      </c>
      <c r="G70" s="9" t="inlineStr">
        <is>
          <t>5,000ms</t>
        </is>
      </c>
      <c r="H70" s="9" t="inlineStr">
        <is>
          <t>10,000ms</t>
        </is>
      </c>
      <c r="I70" s="9" t="inlineStr">
        <is>
          <t>RDS Proxy 経由では Aurora の自動一時停止が起きないため、15秒超は不要</t>
        </is>
      </c>
    </row>
    <row r="71" ht="52" customHeight="1">
      <c r="B71" s="14" t="inlineStr">
        <is>
          <t>JBoss データソース</t>
        </is>
      </c>
      <c r="C71" s="14" t="inlineStr">
        <is>
          <t>idle-timeout-minutes</t>
        </is>
      </c>
      <c r="D71" s="12" t="inlineStr">
        <is>
          <t>10分</t>
        </is>
      </c>
      <c r="E71" s="12" t="inlineStr">
        <is>
          <t>10分</t>
        </is>
      </c>
      <c r="F71" s="12" t="inlineStr">
        <is>
          <t>10分</t>
        </is>
      </c>
      <c r="G71" s="12" t="inlineStr">
        <is>
          <t>10分</t>
        </is>
      </c>
      <c r="H71" s="12" t="inlineStr">
        <is>
          <t>10分（HikariCP なら idleTimeout＝600,000）</t>
        </is>
      </c>
      <c r="I71" s="12" t="inlineStr">
        <is>
          <t>IdleClientTimeout より短く。24時間寿命は接続検証＋ExceptionSorter で吸収</t>
        </is>
      </c>
    </row>
    <row r="72" ht="37" customHeight="1">
      <c r="B72" s="13" t="inlineStr">
        <is>
          <t>RDS Proxy</t>
        </is>
      </c>
      <c r="C72" s="13" t="inlineStr">
        <is>
          <t>ConnectionBorrowTimeout</t>
        </is>
      </c>
      <c r="D72" s="9" t="inlineStr">
        <is>
          <t>オンライン用：10秒</t>
        </is>
      </c>
      <c r="E72" s="9" t="inlineStr">
        <is>
          <t>オンライン用：10秒</t>
        </is>
      </c>
      <c r="F72" s="9" t="inlineStr">
        <is>
          <t>オンライン用：10秒</t>
        </is>
      </c>
      <c r="G72" s="9" t="inlineStr">
        <is>
          <t>オンライン用：10秒</t>
        </is>
      </c>
      <c r="H72" s="9" t="inlineStr">
        <is>
          <t>バッチ用：120秒</t>
        </is>
      </c>
      <c r="I72" s="9" t="inlineStr">
        <is>
          <t>Proxy単位。オンラインは最短期限の40%、バッチはフェイルオーバーを待ち切る</t>
        </is>
      </c>
    </row>
    <row r="73" ht="22" customHeight="1">
      <c r="B73" s="14" t="inlineStr">
        <is>
          <t>RDS Proxy</t>
        </is>
      </c>
      <c r="C73" s="14" t="inlineStr">
        <is>
          <t>IdleClientTimeout</t>
        </is>
      </c>
      <c r="D73" s="12" t="inlineStr">
        <is>
          <t>1,800秒</t>
        </is>
      </c>
      <c r="E73" s="12" t="inlineStr">
        <is>
          <t>1,800秒</t>
        </is>
      </c>
      <c r="F73" s="12" t="inlineStr">
        <is>
          <t>1,800秒</t>
        </is>
      </c>
      <c r="G73" s="12" t="inlineStr">
        <is>
          <t>1,800秒</t>
        </is>
      </c>
      <c r="H73" s="12" t="inlineStr">
        <is>
          <t>7,200秒</t>
        </is>
      </c>
      <c r="I73" s="12" t="inlineStr">
        <is>
          <t>バッチはステップ間の待ちが長いので延長</t>
        </is>
      </c>
    </row>
    <row r="74" ht="37" customHeight="1">
      <c r="B74" s="13" t="inlineStr">
        <is>
          <t>RDS Proxy</t>
        </is>
      </c>
      <c r="C74" s="13" t="inlineStr">
        <is>
          <t>MaxConnectionsPercent</t>
        </is>
      </c>
      <c r="D74" s="9" t="inlineStr">
        <is>
          <t>60%</t>
        </is>
      </c>
      <c r="E74" s="9" t="inlineStr">
        <is>
          <t>60%</t>
        </is>
      </c>
      <c r="F74" s="9" t="inlineStr">
        <is>
          <t>60%</t>
        </is>
      </c>
      <c r="G74" s="9" t="inlineStr">
        <is>
          <t>60%</t>
        </is>
      </c>
      <c r="H74" s="9" t="inlineStr">
        <is>
          <t>30%</t>
        </is>
      </c>
      <c r="I74" s="9" t="inlineStr">
        <is>
          <t>2つの Proxy の合計≦100%。残り10%は管理・直結用</t>
        </is>
      </c>
    </row>
    <row r="75" ht="52" customHeight="1">
      <c r="B75" s="14" t="inlineStr">
        <is>
          <t>Aurora</t>
        </is>
      </c>
      <c r="C75" s="14" t="inlineStr">
        <is>
          <t>innodb_lock_wait_timeout</t>
        </is>
      </c>
      <c r="D75" s="12" t="inlineStr">
        <is>
          <t>10秒（オンライン用 Proxy の InitQuery）</t>
        </is>
      </c>
      <c r="E75" s="12" t="inlineStr">
        <is>
          <t>10秒（InitQuery）</t>
        </is>
      </c>
      <c r="F75" s="12" t="inlineStr">
        <is>
          <t>10秒（InitQuery）</t>
        </is>
      </c>
      <c r="G75" s="12" t="inlineStr">
        <is>
          <t>10秒（InitQuery）</t>
        </is>
      </c>
      <c r="H75" s="12" t="inlineStr">
        <is>
          <t>120秒（バッチ用 Proxy の InitQuery）</t>
        </is>
      </c>
      <c r="I75" s="12" t="inlineStr">
        <is>
          <t>SET はピン留めになるので、Proxy 単位の InitQuery で経路別に</t>
        </is>
      </c>
    </row>
    <row r="76" ht="37" customHeight="1">
      <c r="B76" s="13" t="inlineStr">
        <is>
          <t>Aurora</t>
        </is>
      </c>
      <c r="C76" s="13" t="inlineStr">
        <is>
          <t>wait_timeout</t>
        </is>
      </c>
      <c r="D76" s="9" t="inlineStr">
        <is>
          <t>28,800秒（既定）</t>
        </is>
      </c>
      <c r="E76" s="9" t="inlineStr">
        <is>
          <t>28,800秒</t>
        </is>
      </c>
      <c r="F76" s="9" t="inlineStr">
        <is>
          <t>28,800秒</t>
        </is>
      </c>
      <c r="G76" s="9" t="inlineStr">
        <is>
          <t>28,800秒</t>
        </is>
      </c>
      <c r="H76" s="9" t="inlineStr">
        <is>
          <t>28,800秒</t>
        </is>
      </c>
      <c r="I76" s="9" t="inlineStr">
        <is>
          <t>IdleClientTimeout 以上を維持（クラスタパラメータ）</t>
        </is>
      </c>
    </row>
    <row r="77" ht="10" customHeight="1"/>
    <row r="78" ht="24" customHeight="1">
      <c r="B78" s="5" t="inlineStr">
        <is>
          <t xml:space="preserve">　P3 API Gateway 延長型（外部API・Salesforce に55秒の同期処理が残る場合）</t>
        </is>
      </c>
    </row>
    <row r="79" ht="4" customHeight="1"/>
    <row r="80" ht="21" customHeight="1">
      <c r="B80" s="22" t="inlineStr">
        <is>
          <t>Regional の REST API で統合タイムアウトの上限を引き上げ、必要なメソッドだけ60秒にします。イントラ・バッチは P2 と同じです。</t>
        </is>
      </c>
    </row>
    <row r="81" ht="38" customHeight="1">
      <c r="B81" s="6" t="inlineStr">
        <is>
          <t>レイヤ</t>
        </is>
      </c>
      <c r="C81" s="6" t="inlineStr">
        <is>
          <t>設定項目</t>
        </is>
      </c>
      <c r="D81" s="6" t="inlineStr">
        <is>
          <t>インターネットAPI</t>
        </is>
      </c>
      <c r="E81" s="6" t="inlineStr">
        <is>
          <t>Salesforce API</t>
        </is>
      </c>
      <c r="F81" s="6" t="inlineStr">
        <is>
          <t>イントラAPI（最重）</t>
        </is>
      </c>
      <c r="G81" s="6" t="inlineStr">
        <is>
          <t>イントラ画面</t>
        </is>
      </c>
      <c r="H81" s="6" t="inlineStr">
        <is>
          <t>バッチ</t>
        </is>
      </c>
      <c r="I81" s="6" t="inlineStr">
        <is>
          <t>根拠・メモ</t>
        </is>
      </c>
    </row>
    <row r="82" ht="67" customHeight="1">
      <c r="B82" s="13" t="inlineStr">
        <is>
          <t>構成</t>
        </is>
      </c>
      <c r="C82" s="13" t="inlineStr">
        <is>
          <t>部品の分け方</t>
        </is>
      </c>
      <c r="D82" s="9" t="inlineStr">
        <is>
          <t>P2＋REST API（Regional）の統合タイムアウト上限を引上げ</t>
        </is>
      </c>
      <c r="E82" s="9" t="inlineStr">
        <is>
          <t>同左</t>
        </is>
      </c>
      <c r="F82" s="9" t="inlineStr">
        <is>
          <t>P2と同じ</t>
        </is>
      </c>
      <c r="G82" s="9" t="inlineStr">
        <is>
          <t>P2と同じ</t>
        </is>
      </c>
      <c r="H82" s="9" t="inlineStr">
        <is>
          <t>P2と同じ</t>
        </is>
      </c>
      <c r="I82" s="9" t="inlineStr">
        <is>
          <t>Service Quotas「Maximum integration timeout in milliseconds」を申請。スロットル枠が下がる場合あり。Edge最適化は不可</t>
        </is>
      </c>
    </row>
    <row r="83" ht="52" customHeight="1">
      <c r="B83" s="14" t="inlineStr">
        <is>
          <t>呼出元</t>
        </is>
      </c>
      <c r="C83" s="14" t="inlineStr">
        <is>
          <t>呼出元のタイムアウト</t>
        </is>
      </c>
      <c r="D83" s="12" t="inlineStr">
        <is>
          <t>70秒</t>
        </is>
      </c>
      <c r="E83" s="12" t="inlineStr">
        <is>
          <t>setTimeout(70000)（累計120秒の残りに注意）</t>
        </is>
      </c>
      <c r="F83" s="12" t="inlineStr">
        <is>
          <t>P2と同じ</t>
        </is>
      </c>
      <c r="G83" s="12" t="inlineStr">
        <is>
          <t>P2と同じ</t>
        </is>
      </c>
      <c r="H83" s="12" t="inlineStr">
        <is>
          <t>P2と同じ</t>
        </is>
      </c>
      <c r="I83" s="12" t="inlineStr">
        <is>
          <t>—</t>
        </is>
      </c>
    </row>
    <row r="84" ht="37" customHeight="1">
      <c r="B84" s="13" t="inlineStr">
        <is>
          <t>API Gateway</t>
        </is>
      </c>
      <c r="C84" s="13" t="inlineStr">
        <is>
          <t>統合タイムアウト</t>
        </is>
      </c>
      <c r="D84" s="9" t="inlineStr">
        <is>
          <t>60秒（必要なメソッドだけ）</t>
        </is>
      </c>
      <c r="E84" s="9" t="inlineStr">
        <is>
          <t>60秒（必要なメソッドだけ）</t>
        </is>
      </c>
      <c r="F84" s="9" t="inlineStr">
        <is>
          <t>—</t>
        </is>
      </c>
      <c r="G84" s="9" t="inlineStr">
        <is>
          <t>—</t>
        </is>
      </c>
      <c r="H84" s="9" t="inlineStr">
        <is>
          <t>—</t>
        </is>
      </c>
      <c r="I84" s="9" t="inlineStr">
        <is>
          <t>統合タイムアウトはメソッド単位。短いAPIは29秒のまま</t>
        </is>
      </c>
    </row>
    <row r="85" ht="22" customHeight="1">
      <c r="B85" s="14" t="inlineStr">
        <is>
          <t>ALB</t>
        </is>
      </c>
      <c r="C85" s="14" t="inlineStr">
        <is>
          <t>idle_timeout</t>
        </is>
      </c>
      <c r="D85" s="12" t="inlineStr">
        <is>
          <t>ALB-1：85秒</t>
        </is>
      </c>
      <c r="E85" s="12" t="inlineStr">
        <is>
          <t>ALB-1：85秒</t>
        </is>
      </c>
      <c r="F85" s="12" t="inlineStr">
        <is>
          <t>ALB-2：150秒</t>
        </is>
      </c>
      <c r="G85" s="12" t="inlineStr">
        <is>
          <t>ALB-2：150秒</t>
        </is>
      </c>
      <c r="H85" s="12" t="inlineStr">
        <is>
          <t>—</t>
        </is>
      </c>
      <c r="I85" s="12" t="inlineStr">
        <is>
          <t>55＋30</t>
        </is>
      </c>
    </row>
    <row r="86" ht="22" customHeight="1">
      <c r="B86" s="13" t="inlineStr">
        <is>
          <t>ALB</t>
        </is>
      </c>
      <c r="C86" s="13" t="inlineStr">
        <is>
          <t>登録解除遅延（TG）</t>
        </is>
      </c>
      <c r="D86" s="9" t="inlineStr">
        <is>
          <t>70秒</t>
        </is>
      </c>
      <c r="E86" s="9" t="inlineStr">
        <is>
          <t>70秒</t>
        </is>
      </c>
      <c r="F86" s="9" t="inlineStr">
        <is>
          <t>135秒</t>
        </is>
      </c>
      <c r="G86" s="9" t="inlineStr">
        <is>
          <t>45秒</t>
        </is>
      </c>
      <c r="H86" s="9" t="inlineStr">
        <is>
          <t>—</t>
        </is>
      </c>
      <c r="I86" s="9" t="inlineStr">
        <is>
          <t>—</t>
        </is>
      </c>
    </row>
    <row r="87" ht="22" customHeight="1">
      <c r="B87" s="14" t="inlineStr">
        <is>
          <t>ECS</t>
        </is>
      </c>
      <c r="C87" s="14" t="inlineStr">
        <is>
          <t>stopTimeout</t>
        </is>
      </c>
      <c r="D87" s="12" t="inlineStr">
        <is>
          <t>30秒</t>
        </is>
      </c>
      <c r="E87" s="12" t="inlineStr">
        <is>
          <t>30秒</t>
        </is>
      </c>
      <c r="F87" s="12" t="inlineStr">
        <is>
          <t>60秒</t>
        </is>
      </c>
      <c r="G87" s="12" t="inlineStr">
        <is>
          <t>30秒</t>
        </is>
      </c>
      <c r="H87" s="12" t="inlineStr">
        <is>
          <t>—</t>
        </is>
      </c>
      <c r="I87" s="12" t="inlineStr">
        <is>
          <t>—</t>
        </is>
      </c>
    </row>
    <row r="88" ht="37" customHeight="1">
      <c r="B88" s="13" t="inlineStr">
        <is>
          <t>JBoss Undertow</t>
        </is>
      </c>
      <c r="C88" s="13" t="inlineStr">
        <is>
          <t>no-request-timeout</t>
        </is>
      </c>
      <c r="D88" s="9" t="inlineStr">
        <is>
          <t>100,000ms</t>
        </is>
      </c>
      <c r="E88" s="9" t="inlineStr">
        <is>
          <t>100,000ms</t>
        </is>
      </c>
      <c r="F88" s="9" t="inlineStr">
        <is>
          <t>165,000ms</t>
        </is>
      </c>
      <c r="G88" s="9" t="inlineStr">
        <is>
          <t>165,000ms</t>
        </is>
      </c>
      <c r="H88" s="9" t="inlineStr">
        <is>
          <t>—</t>
        </is>
      </c>
      <c r="I88" s="9" t="inlineStr">
        <is>
          <t>—</t>
        </is>
      </c>
    </row>
    <row r="89" ht="22" customHeight="1">
      <c r="B89" s="14" t="inlineStr">
        <is>
          <t>JBoss JTA</t>
        </is>
      </c>
      <c r="C89" s="14" t="inlineStr">
        <is>
          <t>アプリ期限</t>
        </is>
      </c>
      <c r="D89" s="12" t="inlineStr">
        <is>
          <t>55秒</t>
        </is>
      </c>
      <c r="E89" s="12" t="inlineStr">
        <is>
          <t>55秒</t>
        </is>
      </c>
      <c r="F89" s="12" t="inlineStr">
        <is>
          <t>120秒</t>
        </is>
      </c>
      <c r="G89" s="12" t="inlineStr">
        <is>
          <t>30秒</t>
        </is>
      </c>
      <c r="H89" s="12" t="inlineStr">
        <is>
          <t>チャンク単位300秒</t>
        </is>
      </c>
      <c r="I89" s="12" t="inlineStr">
        <is>
          <t>—</t>
        </is>
      </c>
    </row>
    <row r="90" ht="37" customHeight="1">
      <c r="B90" s="13" t="inlineStr">
        <is>
          <t>JBoss データソース</t>
        </is>
      </c>
      <c r="C90" s="13" t="inlineStr">
        <is>
          <t>blocking-timeout-wait-millis</t>
        </is>
      </c>
      <c r="D90" s="9" t="inlineStr">
        <is>
          <t>7,000ms</t>
        </is>
      </c>
      <c r="E90" s="9" t="inlineStr">
        <is>
          <t>7,000ms</t>
        </is>
      </c>
      <c r="F90" s="9" t="inlineStr">
        <is>
          <t>10,000ms</t>
        </is>
      </c>
      <c r="G90" s="9" t="inlineStr">
        <is>
          <t>4,000ms</t>
        </is>
      </c>
      <c r="H90" s="9" t="inlineStr">
        <is>
          <t>30,000ms</t>
        </is>
      </c>
      <c r="I90" s="9" t="inlineStr">
        <is>
          <t>—</t>
        </is>
      </c>
    </row>
    <row r="91" ht="37" customHeight="1">
      <c r="B91" s="14" t="inlineStr">
        <is>
          <t>JBoss データソース</t>
        </is>
      </c>
      <c r="C91" s="14" t="inlineStr">
        <is>
          <t>query timeout</t>
        </is>
      </c>
      <c r="D91" s="12" t="inlineStr">
        <is>
          <t>true／50秒</t>
        </is>
      </c>
      <c r="E91" s="12" t="inlineStr">
        <is>
          <t>true／50秒</t>
        </is>
      </c>
      <c r="F91" s="12" t="inlineStr">
        <is>
          <t>true／115秒</t>
        </is>
      </c>
      <c r="G91" s="12" t="inlineStr">
        <is>
          <t>true／25秒</t>
        </is>
      </c>
      <c r="H91" s="12" t="inlineStr">
        <is>
          <t>setQueryTimeout 900秒</t>
        </is>
      </c>
      <c r="I91" s="12" t="inlineStr">
        <is>
          <t>—</t>
        </is>
      </c>
    </row>
    <row r="92" ht="37" customHeight="1">
      <c r="B92" s="13" t="inlineStr">
        <is>
          <t>Aurora（SQL）</t>
        </is>
      </c>
      <c r="C92" s="13" t="inlineStr">
        <is>
          <t>SELECT 上限（ヒント）</t>
        </is>
      </c>
      <c r="D92" s="9" t="inlineStr">
        <is>
          <t>50,000ms</t>
        </is>
      </c>
      <c r="E92" s="9" t="inlineStr">
        <is>
          <t>50,000ms</t>
        </is>
      </c>
      <c r="F92" s="9" t="inlineStr">
        <is>
          <t>115,000ms</t>
        </is>
      </c>
      <c r="G92" s="9" t="inlineStr">
        <is>
          <t>25,000ms</t>
        </is>
      </c>
      <c r="H92" s="9" t="inlineStr">
        <is>
          <t>0</t>
        </is>
      </c>
      <c r="I92" s="9" t="inlineStr">
        <is>
          <t>—</t>
        </is>
      </c>
    </row>
    <row r="93" ht="22" customHeight="1">
      <c r="B93" s="14" t="inlineStr">
        <is>
          <t>Connector/J</t>
        </is>
      </c>
      <c r="C93" s="14" t="inlineStr">
        <is>
          <t>socketTimeout</t>
        </is>
      </c>
      <c r="D93" s="12" t="inlineStr">
        <is>
          <t>65,000ms</t>
        </is>
      </c>
      <c r="E93" s="12" t="inlineStr">
        <is>
          <t>65,000ms</t>
        </is>
      </c>
      <c r="F93" s="12" t="inlineStr">
        <is>
          <t>130,000ms</t>
        </is>
      </c>
      <c r="G93" s="12" t="inlineStr">
        <is>
          <t>40,000ms</t>
        </is>
      </c>
      <c r="H93" s="12" t="inlineStr">
        <is>
          <t>1,800,000ms</t>
        </is>
      </c>
      <c r="I93" s="12" t="inlineStr">
        <is>
          <t>—</t>
        </is>
      </c>
    </row>
    <row r="94" ht="22" customHeight="1">
      <c r="B94" s="13" t="inlineStr">
        <is>
          <t>Connector/J</t>
        </is>
      </c>
      <c r="C94" s="13" t="inlineStr">
        <is>
          <t>connectTimeout</t>
        </is>
      </c>
      <c r="D94" s="9" t="inlineStr">
        <is>
          <t>5,000ms</t>
        </is>
      </c>
      <c r="E94" s="9" t="inlineStr">
        <is>
          <t>5,000ms</t>
        </is>
      </c>
      <c r="F94" s="9" t="inlineStr">
        <is>
          <t>5,000ms</t>
        </is>
      </c>
      <c r="G94" s="9" t="inlineStr">
        <is>
          <t>5,000ms</t>
        </is>
      </c>
      <c r="H94" s="9" t="inlineStr">
        <is>
          <t>10,000ms</t>
        </is>
      </c>
      <c r="I94" s="9" t="inlineStr">
        <is>
          <t>—</t>
        </is>
      </c>
    </row>
    <row r="95" ht="37" customHeight="1">
      <c r="B95" s="14" t="inlineStr">
        <is>
          <t>JBoss データソース</t>
        </is>
      </c>
      <c r="C95" s="14" t="inlineStr">
        <is>
          <t>idle-timeout-minutes</t>
        </is>
      </c>
      <c r="D95" s="12" t="inlineStr">
        <is>
          <t>10分</t>
        </is>
      </c>
      <c r="E95" s="12" t="inlineStr">
        <is>
          <t>10分</t>
        </is>
      </c>
      <c r="F95" s="12" t="inlineStr">
        <is>
          <t>10分</t>
        </is>
      </c>
      <c r="G95" s="12" t="inlineStr">
        <is>
          <t>10分</t>
        </is>
      </c>
      <c r="H95" s="12" t="inlineStr">
        <is>
          <t>10分</t>
        </is>
      </c>
      <c r="I95" s="12" t="inlineStr">
        <is>
          <t>—</t>
        </is>
      </c>
    </row>
    <row r="96" ht="37" customHeight="1">
      <c r="B96" s="13" t="inlineStr">
        <is>
          <t>RDS Proxy</t>
        </is>
      </c>
      <c r="C96" s="13" t="inlineStr">
        <is>
          <t>ConnectionBorrowTimeout</t>
        </is>
      </c>
      <c r="D96" s="9" t="inlineStr">
        <is>
          <t>オンライン用：12秒</t>
        </is>
      </c>
      <c r="E96" s="9" t="inlineStr">
        <is>
          <t>12秒</t>
        </is>
      </c>
      <c r="F96" s="9" t="inlineStr">
        <is>
          <t>12秒</t>
        </is>
      </c>
      <c r="G96" s="9" t="inlineStr">
        <is>
          <t>12秒</t>
        </is>
      </c>
      <c r="H96" s="9" t="inlineStr">
        <is>
          <t>バッチ用：120秒</t>
        </is>
      </c>
      <c r="I96" s="9" t="inlineStr">
        <is>
          <t>オンラインの最短期限（画面30秒）×0.4</t>
        </is>
      </c>
    </row>
    <row r="97" ht="22" customHeight="1">
      <c r="B97" s="14" t="inlineStr">
        <is>
          <t>RDS Proxy</t>
        </is>
      </c>
      <c r="C97" s="14" t="inlineStr">
        <is>
          <t>IdleClientTimeout</t>
        </is>
      </c>
      <c r="D97" s="12" t="inlineStr">
        <is>
          <t>1,800秒</t>
        </is>
      </c>
      <c r="E97" s="12" t="inlineStr">
        <is>
          <t>1,800秒</t>
        </is>
      </c>
      <c r="F97" s="12" t="inlineStr">
        <is>
          <t>1,800秒</t>
        </is>
      </c>
      <c r="G97" s="12" t="inlineStr">
        <is>
          <t>1,800秒</t>
        </is>
      </c>
      <c r="H97" s="12" t="inlineStr">
        <is>
          <t>7,200秒</t>
        </is>
      </c>
      <c r="I97" s="12" t="inlineStr">
        <is>
          <t>—</t>
        </is>
      </c>
    </row>
    <row r="98" ht="37" customHeight="1">
      <c r="B98" s="13" t="inlineStr">
        <is>
          <t>RDS Proxy</t>
        </is>
      </c>
      <c r="C98" s="13" t="inlineStr">
        <is>
          <t>MaxConnectionsPercent</t>
        </is>
      </c>
      <c r="D98" s="9" t="inlineStr">
        <is>
          <t>60%</t>
        </is>
      </c>
      <c r="E98" s="9" t="inlineStr">
        <is>
          <t>60%</t>
        </is>
      </c>
      <c r="F98" s="9" t="inlineStr">
        <is>
          <t>60%</t>
        </is>
      </c>
      <c r="G98" s="9" t="inlineStr">
        <is>
          <t>60%</t>
        </is>
      </c>
      <c r="H98" s="9" t="inlineStr">
        <is>
          <t>30%</t>
        </is>
      </c>
      <c r="I98" s="9" t="inlineStr">
        <is>
          <t>—</t>
        </is>
      </c>
    </row>
    <row r="99" ht="37" customHeight="1">
      <c r="B99" s="14" t="inlineStr">
        <is>
          <t>Aurora</t>
        </is>
      </c>
      <c r="C99" s="14" t="inlineStr">
        <is>
          <t>innodb_lock_wait_timeout</t>
        </is>
      </c>
      <c r="D99" s="12" t="inlineStr">
        <is>
          <t>10秒（InitQuery）</t>
        </is>
      </c>
      <c r="E99" s="12" t="inlineStr">
        <is>
          <t>10秒</t>
        </is>
      </c>
      <c r="F99" s="12" t="inlineStr">
        <is>
          <t>10秒</t>
        </is>
      </c>
      <c r="G99" s="12" t="inlineStr">
        <is>
          <t>10秒</t>
        </is>
      </c>
      <c r="H99" s="12" t="inlineStr">
        <is>
          <t>120秒（InitQuery）</t>
        </is>
      </c>
      <c r="I99" s="12" t="inlineStr">
        <is>
          <t>—</t>
        </is>
      </c>
    </row>
    <row r="100" ht="22" customHeight="1">
      <c r="B100" s="13" t="inlineStr">
        <is>
          <t>Aurora</t>
        </is>
      </c>
      <c r="C100" s="13" t="inlineStr">
        <is>
          <t>wait_timeout</t>
        </is>
      </c>
      <c r="D100" s="9" t="inlineStr">
        <is>
          <t>28,800秒</t>
        </is>
      </c>
      <c r="E100" s="9" t="inlineStr">
        <is>
          <t>28,800秒</t>
        </is>
      </c>
      <c r="F100" s="9" t="inlineStr">
        <is>
          <t>28,800秒</t>
        </is>
      </c>
      <c r="G100" s="9" t="inlineStr">
        <is>
          <t>28,800秒</t>
        </is>
      </c>
      <c r="H100" s="9" t="inlineStr">
        <is>
          <t>28,800秒</t>
        </is>
      </c>
      <c r="I100" s="9" t="inlineStr">
        <is>
          <t>—</t>
        </is>
      </c>
    </row>
    <row r="101" ht="10" customHeight="1"/>
    <row r="102" ht="24" customHeight="1">
      <c r="B102" s="5" t="inlineStr">
        <is>
          <t xml:space="preserve">　P4 非同期型（API Gateway の上限や2分を超える処理）</t>
        </is>
      </c>
    </row>
    <row r="103" ht="4" customHeight="1"/>
    <row r="104" ht="21" customHeight="1">
      <c r="B104" s="22" t="inlineStr">
        <is>
          <t>HTTPでは「受け付けました（202 Accepted＋ジョブID）」だけを数秒で返し、重い処理はワーカーで行います。結果は照会APIやコールバックで受け取ります。タイムアウト問題を根本から解消できます。</t>
        </is>
      </c>
    </row>
    <row r="105" ht="38" customHeight="1">
      <c r="B105" s="6" t="inlineStr">
        <is>
          <t>レイヤ</t>
        </is>
      </c>
      <c r="C105" s="6" t="inlineStr">
        <is>
          <t>設定項目</t>
        </is>
      </c>
      <c r="D105" s="6" t="inlineStr">
        <is>
          <t>インターネットAPI</t>
        </is>
      </c>
      <c r="E105" s="6" t="inlineStr">
        <is>
          <t>Salesforce API</t>
        </is>
      </c>
      <c r="F105" s="6" t="inlineStr">
        <is>
          <t>イントラAPI（最重）</t>
        </is>
      </c>
      <c r="G105" s="6" t="inlineStr">
        <is>
          <t>イントラ画面</t>
        </is>
      </c>
      <c r="H105" s="6" t="inlineStr">
        <is>
          <t>バッチ</t>
        </is>
      </c>
      <c r="I105" s="6" t="inlineStr">
        <is>
          <t>根拠・メモ</t>
        </is>
      </c>
    </row>
    <row r="106" ht="67" customHeight="1">
      <c r="B106" s="13" t="inlineStr">
        <is>
          <t>構成</t>
        </is>
      </c>
      <c r="C106" s="13" t="inlineStr">
        <is>
          <t>部品の分け方</t>
        </is>
      </c>
      <c r="D106" s="9" t="inlineStr">
        <is>
          <t>受付API＋状態照会API（ジョブ表 または SQS）</t>
        </is>
      </c>
      <c r="E106" s="9" t="inlineStr">
        <is>
          <t>受付API＋完了時に Salesforce へコールバック（REST API／Platform Event）</t>
        </is>
      </c>
      <c r="F106" s="9" t="inlineStr">
        <is>
          <t>受付API＋ポーリング（5〜10秒間隔）</t>
        </is>
      </c>
      <c r="G106" s="9" t="inlineStr">
        <is>
          <t>受付＋進捗表示（ポーリング）</t>
        </is>
      </c>
      <c r="H106" s="9" t="inlineStr">
        <is>
          <t>ワーカー（ECS ワーカー or バッチ）</t>
        </is>
      </c>
      <c r="I106" s="9" t="inlineStr">
        <is>
          <t>長い処理はワーカーで行い、HTTPは数秒で返す</t>
        </is>
      </c>
    </row>
    <row r="107" ht="37" customHeight="1">
      <c r="B107" s="14" t="inlineStr">
        <is>
          <t>呼出元</t>
        </is>
      </c>
      <c r="C107" s="14" t="inlineStr">
        <is>
          <t>呼出元のタイムアウト</t>
        </is>
      </c>
      <c r="D107" s="12" t="inlineStr">
        <is>
          <t>15秒</t>
        </is>
      </c>
      <c r="E107" s="12" t="inlineStr">
        <is>
          <t>setTimeout(15000)</t>
        </is>
      </c>
      <c r="F107" s="12" t="inlineStr">
        <is>
          <t>15秒</t>
        </is>
      </c>
      <c r="G107" s="12" t="inlineStr">
        <is>
          <t>15秒</t>
        </is>
      </c>
      <c r="H107" s="12" t="inlineStr">
        <is>
          <t>ジョブ全体の上限（例：60分）</t>
        </is>
      </c>
      <c r="I107" s="12" t="inlineStr">
        <is>
          <t>—</t>
        </is>
      </c>
    </row>
    <row r="108" ht="37" customHeight="1">
      <c r="B108" s="13" t="inlineStr">
        <is>
          <t>API Gateway</t>
        </is>
      </c>
      <c r="C108" s="13" t="inlineStr">
        <is>
          <t>統合タイムアウト</t>
        </is>
      </c>
      <c r="D108" s="9" t="inlineStr">
        <is>
          <t>10秒</t>
        </is>
      </c>
      <c r="E108" s="9" t="inlineStr">
        <is>
          <t>10秒</t>
        </is>
      </c>
      <c r="F108" s="9" t="inlineStr">
        <is>
          <t>—</t>
        </is>
      </c>
      <c r="G108" s="9" t="inlineStr">
        <is>
          <t>—</t>
        </is>
      </c>
      <c r="H108" s="9" t="inlineStr">
        <is>
          <t>—</t>
        </is>
      </c>
      <c r="I108" s="9" t="inlineStr">
        <is>
          <t>受付は短いので29秒より短くして早く失敗させる</t>
        </is>
      </c>
    </row>
    <row r="109" ht="22" customHeight="1">
      <c r="B109" s="14" t="inlineStr">
        <is>
          <t>ALB</t>
        </is>
      </c>
      <c r="C109" s="14" t="inlineStr">
        <is>
          <t>idle_timeout</t>
        </is>
      </c>
      <c r="D109" s="12" t="inlineStr">
        <is>
          <t>ALB-1：60秒</t>
        </is>
      </c>
      <c r="E109" s="12" t="inlineStr">
        <is>
          <t>ALB-1：60秒</t>
        </is>
      </c>
      <c r="F109" s="12" t="inlineStr">
        <is>
          <t>ALB-2：60秒</t>
        </is>
      </c>
      <c r="G109" s="12" t="inlineStr">
        <is>
          <t>ALB-2：60秒</t>
        </is>
      </c>
      <c r="H109" s="12" t="inlineStr">
        <is>
          <t>—</t>
        </is>
      </c>
      <c r="I109" s="12" t="inlineStr">
        <is>
          <t>長い同期処理がなくなるので既定でよい</t>
        </is>
      </c>
    </row>
    <row r="110" ht="22" customHeight="1">
      <c r="B110" s="13" t="inlineStr">
        <is>
          <t>ALB</t>
        </is>
      </c>
      <c r="C110" s="13" t="inlineStr">
        <is>
          <t>登録解除遅延（TG）</t>
        </is>
      </c>
      <c r="D110" s="9" t="inlineStr">
        <is>
          <t>20秒</t>
        </is>
      </c>
      <c r="E110" s="9" t="inlineStr">
        <is>
          <t>20秒</t>
        </is>
      </c>
      <c r="F110" s="9" t="inlineStr">
        <is>
          <t>20秒</t>
        </is>
      </c>
      <c r="G110" s="9" t="inlineStr">
        <is>
          <t>20秒</t>
        </is>
      </c>
      <c r="H110" s="9" t="inlineStr">
        <is>
          <t>—</t>
        </is>
      </c>
      <c r="I110" s="9" t="inlineStr">
        <is>
          <t>—</t>
        </is>
      </c>
    </row>
    <row r="111" ht="67" customHeight="1">
      <c r="B111" s="14" t="inlineStr">
        <is>
          <t>ECS</t>
        </is>
      </c>
      <c r="C111" s="14" t="inlineStr">
        <is>
          <t>stopTimeout</t>
        </is>
      </c>
      <c r="D111" s="12" t="inlineStr">
        <is>
          <t>30秒</t>
        </is>
      </c>
      <c r="E111" s="12" t="inlineStr">
        <is>
          <t>30秒</t>
        </is>
      </c>
      <c r="F111" s="12" t="inlineStr">
        <is>
          <t>30秒</t>
        </is>
      </c>
      <c r="G111" s="12" t="inlineStr">
        <is>
          <t>30秒</t>
        </is>
      </c>
      <c r="H111" s="12" t="inlineStr">
        <is>
          <t>ワーカー：120秒（処理中は可視性タイムアウトで再配信させる設計なら30秒）</t>
        </is>
      </c>
      <c r="I111" s="12" t="inlineStr">
        <is>
          <t>—</t>
        </is>
      </c>
    </row>
    <row r="112" ht="37" customHeight="1">
      <c r="B112" s="13" t="inlineStr">
        <is>
          <t>JBoss Undertow</t>
        </is>
      </c>
      <c r="C112" s="13" t="inlineStr">
        <is>
          <t>no-request-timeout</t>
        </is>
      </c>
      <c r="D112" s="9" t="inlineStr">
        <is>
          <t>75,000ms</t>
        </is>
      </c>
      <c r="E112" s="9" t="inlineStr">
        <is>
          <t>75,000ms</t>
        </is>
      </c>
      <c r="F112" s="9" t="inlineStr">
        <is>
          <t>75,000ms</t>
        </is>
      </c>
      <c r="G112" s="9" t="inlineStr">
        <is>
          <t>75,000ms</t>
        </is>
      </c>
      <c r="H112" s="9" t="inlineStr">
        <is>
          <t>—</t>
        </is>
      </c>
      <c r="I112" s="9" t="inlineStr">
        <is>
          <t>—</t>
        </is>
      </c>
    </row>
    <row r="113" ht="37" customHeight="1">
      <c r="B113" s="14" t="inlineStr">
        <is>
          <t>JBoss JTA</t>
        </is>
      </c>
      <c r="C113" s="14" t="inlineStr">
        <is>
          <t>アプリ期限</t>
        </is>
      </c>
      <c r="D113" s="12" t="inlineStr">
        <is>
          <t>5秒（検証＋ジョブ登録のみ）</t>
        </is>
      </c>
      <c r="E113" s="12" t="inlineStr">
        <is>
          <t>5秒</t>
        </is>
      </c>
      <c r="F113" s="12" t="inlineStr">
        <is>
          <t>5秒</t>
        </is>
      </c>
      <c r="G113" s="12" t="inlineStr">
        <is>
          <t>5秒</t>
        </is>
      </c>
      <c r="H113" s="12" t="inlineStr">
        <is>
          <t>チャンク単位300秒</t>
        </is>
      </c>
      <c r="I113" s="12" t="inlineStr">
        <is>
          <t>—</t>
        </is>
      </c>
    </row>
    <row r="114" ht="37" customHeight="1">
      <c r="B114" s="13" t="inlineStr">
        <is>
          <t>JBoss データソース</t>
        </is>
      </c>
      <c r="C114" s="13" t="inlineStr">
        <is>
          <t>blocking-timeout-wait-millis</t>
        </is>
      </c>
      <c r="D114" s="9" t="inlineStr">
        <is>
          <t>2,000ms</t>
        </is>
      </c>
      <c r="E114" s="9" t="inlineStr">
        <is>
          <t>2,000ms</t>
        </is>
      </c>
      <c r="F114" s="9" t="inlineStr">
        <is>
          <t>2,000ms</t>
        </is>
      </c>
      <c r="G114" s="9" t="inlineStr">
        <is>
          <t>2,000ms</t>
        </is>
      </c>
      <c r="H114" s="9" t="inlineStr">
        <is>
          <t>30,000ms</t>
        </is>
      </c>
      <c r="I114" s="9" t="inlineStr">
        <is>
          <t>—</t>
        </is>
      </c>
    </row>
    <row r="115" ht="37" customHeight="1">
      <c r="B115" s="14" t="inlineStr">
        <is>
          <t>JBoss データソース</t>
        </is>
      </c>
      <c r="C115" s="14" t="inlineStr">
        <is>
          <t>query timeout</t>
        </is>
      </c>
      <c r="D115" s="12" t="inlineStr">
        <is>
          <t>true／4秒</t>
        </is>
      </c>
      <c r="E115" s="12" t="inlineStr">
        <is>
          <t>true／4秒</t>
        </is>
      </c>
      <c r="F115" s="12" t="inlineStr">
        <is>
          <t>true／4秒</t>
        </is>
      </c>
      <c r="G115" s="12" t="inlineStr">
        <is>
          <t>true／4秒</t>
        </is>
      </c>
      <c r="H115" s="12" t="inlineStr">
        <is>
          <t>setQueryTimeout 900秒</t>
        </is>
      </c>
      <c r="I115" s="12" t="inlineStr">
        <is>
          <t>—</t>
        </is>
      </c>
    </row>
    <row r="116" ht="37" customHeight="1">
      <c r="B116" s="13" t="inlineStr">
        <is>
          <t>Aurora（SQL）</t>
        </is>
      </c>
      <c r="C116" s="13" t="inlineStr">
        <is>
          <t>SELECT 上限（ヒント）</t>
        </is>
      </c>
      <c r="D116" s="9" t="inlineStr">
        <is>
          <t>4,000ms</t>
        </is>
      </c>
      <c r="E116" s="9" t="inlineStr">
        <is>
          <t>4,000ms</t>
        </is>
      </c>
      <c r="F116" s="9" t="inlineStr">
        <is>
          <t>4,000ms</t>
        </is>
      </c>
      <c r="G116" s="9" t="inlineStr">
        <is>
          <t>4,000ms</t>
        </is>
      </c>
      <c r="H116" s="9" t="inlineStr">
        <is>
          <t>0</t>
        </is>
      </c>
      <c r="I116" s="9" t="inlineStr">
        <is>
          <t>—</t>
        </is>
      </c>
    </row>
    <row r="117" ht="22" customHeight="1">
      <c r="B117" s="14" t="inlineStr">
        <is>
          <t>Connector/J</t>
        </is>
      </c>
      <c r="C117" s="14" t="inlineStr">
        <is>
          <t>socketTimeout</t>
        </is>
      </c>
      <c r="D117" s="12" t="inlineStr">
        <is>
          <t>15,000ms</t>
        </is>
      </c>
      <c r="E117" s="12" t="inlineStr">
        <is>
          <t>15,000ms</t>
        </is>
      </c>
      <c r="F117" s="12" t="inlineStr">
        <is>
          <t>15,000ms</t>
        </is>
      </c>
      <c r="G117" s="12" t="inlineStr">
        <is>
          <t>15,000ms</t>
        </is>
      </c>
      <c r="H117" s="12" t="inlineStr">
        <is>
          <t>1,800,000ms</t>
        </is>
      </c>
      <c r="I117" s="12" t="inlineStr">
        <is>
          <t>—</t>
        </is>
      </c>
    </row>
    <row r="118" ht="22" customHeight="1">
      <c r="B118" s="13" t="inlineStr">
        <is>
          <t>Connector/J</t>
        </is>
      </c>
      <c r="C118" s="13" t="inlineStr">
        <is>
          <t>connectTimeout</t>
        </is>
      </c>
      <c r="D118" s="9" t="inlineStr">
        <is>
          <t>5,000ms</t>
        </is>
      </c>
      <c r="E118" s="9" t="inlineStr">
        <is>
          <t>5,000ms</t>
        </is>
      </c>
      <c r="F118" s="9" t="inlineStr">
        <is>
          <t>5,000ms</t>
        </is>
      </c>
      <c r="G118" s="9" t="inlineStr">
        <is>
          <t>5,000ms</t>
        </is>
      </c>
      <c r="H118" s="9" t="inlineStr">
        <is>
          <t>10,000ms</t>
        </is>
      </c>
      <c r="I118" s="9" t="inlineStr">
        <is>
          <t>—</t>
        </is>
      </c>
    </row>
    <row r="119" ht="37" customHeight="1">
      <c r="B119" s="14" t="inlineStr">
        <is>
          <t>JBoss データソース</t>
        </is>
      </c>
      <c r="C119" s="14" t="inlineStr">
        <is>
          <t>idle-timeout-minutes</t>
        </is>
      </c>
      <c r="D119" s="12" t="inlineStr">
        <is>
          <t>10分</t>
        </is>
      </c>
      <c r="E119" s="12" t="inlineStr">
        <is>
          <t>10分</t>
        </is>
      </c>
      <c r="F119" s="12" t="inlineStr">
        <is>
          <t>10分</t>
        </is>
      </c>
      <c r="G119" s="12" t="inlineStr">
        <is>
          <t>10分</t>
        </is>
      </c>
      <c r="H119" s="12" t="inlineStr">
        <is>
          <t>10分</t>
        </is>
      </c>
      <c r="I119" s="12" t="inlineStr">
        <is>
          <t>—</t>
        </is>
      </c>
    </row>
    <row r="120" ht="37" customHeight="1">
      <c r="B120" s="13" t="inlineStr">
        <is>
          <t>RDS Proxy</t>
        </is>
      </c>
      <c r="C120" s="13" t="inlineStr">
        <is>
          <t>ConnectionBorrowTimeout</t>
        </is>
      </c>
      <c r="D120" s="9" t="inlineStr">
        <is>
          <t>オンライン用：5秒</t>
        </is>
      </c>
      <c r="E120" s="9" t="inlineStr">
        <is>
          <t>5秒</t>
        </is>
      </c>
      <c r="F120" s="9" t="inlineStr">
        <is>
          <t>5秒</t>
        </is>
      </c>
      <c r="G120" s="9" t="inlineStr">
        <is>
          <t>5秒</t>
        </is>
      </c>
      <c r="H120" s="9" t="inlineStr">
        <is>
          <t>ワーカー・バッチ用：120秒</t>
        </is>
      </c>
      <c r="I120" s="9" t="inlineStr">
        <is>
          <t>—</t>
        </is>
      </c>
    </row>
    <row r="121" ht="22" customHeight="1">
      <c r="B121" s="14" t="inlineStr">
        <is>
          <t>RDS Proxy</t>
        </is>
      </c>
      <c r="C121" s="14" t="inlineStr">
        <is>
          <t>IdleClientTimeout</t>
        </is>
      </c>
      <c r="D121" s="12" t="inlineStr">
        <is>
          <t>1,800秒</t>
        </is>
      </c>
      <c r="E121" s="12" t="inlineStr">
        <is>
          <t>1,800秒</t>
        </is>
      </c>
      <c r="F121" s="12" t="inlineStr">
        <is>
          <t>1,800秒</t>
        </is>
      </c>
      <c r="G121" s="12" t="inlineStr">
        <is>
          <t>1,800秒</t>
        </is>
      </c>
      <c r="H121" s="12" t="inlineStr">
        <is>
          <t>7,200秒</t>
        </is>
      </c>
      <c r="I121" s="12" t="inlineStr">
        <is>
          <t>—</t>
        </is>
      </c>
    </row>
    <row r="122" ht="37" customHeight="1">
      <c r="B122" s="13" t="inlineStr">
        <is>
          <t>RDS Proxy</t>
        </is>
      </c>
      <c r="C122" s="13" t="inlineStr">
        <is>
          <t>MaxConnectionsPercent</t>
        </is>
      </c>
      <c r="D122" s="9" t="inlineStr">
        <is>
          <t>50%</t>
        </is>
      </c>
      <c r="E122" s="9" t="inlineStr">
        <is>
          <t>50%</t>
        </is>
      </c>
      <c r="F122" s="9" t="inlineStr">
        <is>
          <t>50%</t>
        </is>
      </c>
      <c r="G122" s="9" t="inlineStr">
        <is>
          <t>50%</t>
        </is>
      </c>
      <c r="H122" s="9" t="inlineStr">
        <is>
          <t>40%</t>
        </is>
      </c>
      <c r="I122" s="9" t="inlineStr">
        <is>
          <t>重い処理がワーカー側へ移るぶん配分を寄せる</t>
        </is>
      </c>
    </row>
    <row r="123" ht="37" customHeight="1">
      <c r="B123" s="14" t="inlineStr">
        <is>
          <t>Aurora</t>
        </is>
      </c>
      <c r="C123" s="14" t="inlineStr">
        <is>
          <t>innodb_lock_wait_timeout</t>
        </is>
      </c>
      <c r="D123" s="12" t="inlineStr">
        <is>
          <t>3秒（InitQuery）</t>
        </is>
      </c>
      <c r="E123" s="12" t="inlineStr">
        <is>
          <t>3秒</t>
        </is>
      </c>
      <c r="F123" s="12" t="inlineStr">
        <is>
          <t>3秒</t>
        </is>
      </c>
      <c r="G123" s="12" t="inlineStr">
        <is>
          <t>3秒</t>
        </is>
      </c>
      <c r="H123" s="12" t="inlineStr">
        <is>
          <t>120秒（InitQuery）</t>
        </is>
      </c>
      <c r="I123" s="12" t="inlineStr">
        <is>
          <t>受付は期限5秒より短く</t>
        </is>
      </c>
    </row>
    <row r="124" ht="22" customHeight="1">
      <c r="B124" s="13" t="inlineStr">
        <is>
          <t>Aurora</t>
        </is>
      </c>
      <c r="C124" s="13" t="inlineStr">
        <is>
          <t>wait_timeout</t>
        </is>
      </c>
      <c r="D124" s="9" t="inlineStr">
        <is>
          <t>28,800秒</t>
        </is>
      </c>
      <c r="E124" s="9" t="inlineStr">
        <is>
          <t>28,800秒</t>
        </is>
      </c>
      <c r="F124" s="9" t="inlineStr">
        <is>
          <t>28,800秒</t>
        </is>
      </c>
      <c r="G124" s="9" t="inlineStr">
        <is>
          <t>28,800秒</t>
        </is>
      </c>
      <c r="H124" s="9" t="inlineStr">
        <is>
          <t>28,800秒</t>
        </is>
      </c>
      <c r="I124" s="9" t="inlineStr">
        <is>
          <t>—</t>
        </is>
      </c>
    </row>
    <row r="125" ht="52" customHeight="1">
      <c r="B125" s="14" t="inlineStr">
        <is>
          <t>SQS（使う場合）</t>
        </is>
      </c>
      <c r="C125" s="14" t="inlineStr">
        <is>
          <t>VisibilityTimeout</t>
        </is>
      </c>
      <c r="D125" s="12" t="inlineStr">
        <is>
          <t>—</t>
        </is>
      </c>
      <c r="E125" s="12" t="inlineStr">
        <is>
          <t>—</t>
        </is>
      </c>
      <c r="F125" s="12" t="inlineStr">
        <is>
          <t>—</t>
        </is>
      </c>
      <c r="G125" s="12" t="inlineStr">
        <is>
          <t>—</t>
        </is>
      </c>
      <c r="H125" s="12" t="inlineStr">
        <is>
          <t>最大処理時間＋余裕（最大12時間）。長い処理は延長しながら処理</t>
        </is>
      </c>
      <c r="I125" s="12" t="inlineStr">
        <is>
          <t>受信回数で打ち切る（デッドレターキュー）</t>
        </is>
      </c>
    </row>
    <row r="126" ht="10" customHeight="1"/>
    <row r="127" ht="24" customHeight="1">
      <c r="B127" s="5" t="inlineStr">
        <is>
          <t xml:space="preserve">　P5 バッチ直結型（数時間級のバッチ）</t>
        </is>
      </c>
    </row>
    <row r="128" ht="4" customHeight="1"/>
    <row r="129" ht="21" customHeight="1">
      <c r="B129" s="22" t="inlineStr">
        <is>
          <t>オンラインは P2 のまま、バッチだけ RDS Proxy を通さずクラスタエンドポイントへ直結します（元の構成からの変更案）。</t>
        </is>
      </c>
    </row>
    <row r="130" ht="38" customHeight="1">
      <c r="B130" s="6" t="inlineStr">
        <is>
          <t>レイヤ</t>
        </is>
      </c>
      <c r="C130" s="6" t="inlineStr">
        <is>
          <t>設定項目</t>
        </is>
      </c>
      <c r="D130" s="6" t="inlineStr">
        <is>
          <t>インターネットAPI</t>
        </is>
      </c>
      <c r="E130" s="6" t="inlineStr">
        <is>
          <t>Salesforce API</t>
        </is>
      </c>
      <c r="F130" s="6" t="inlineStr">
        <is>
          <t>イントラAPI（最重）</t>
        </is>
      </c>
      <c r="G130" s="6" t="inlineStr">
        <is>
          <t>イントラ画面</t>
        </is>
      </c>
      <c r="H130" s="6" t="inlineStr">
        <is>
          <t>バッチ</t>
        </is>
      </c>
      <c r="I130" s="6" t="inlineStr">
        <is>
          <t>根拠・メモ</t>
        </is>
      </c>
    </row>
    <row r="131" ht="52" customHeight="1">
      <c r="B131" s="13" t="inlineStr">
        <is>
          <t>構成</t>
        </is>
      </c>
      <c r="C131" s="13" t="inlineStr">
        <is>
          <t>部品の分け方</t>
        </is>
      </c>
      <c r="D131" s="9" t="inlineStr">
        <is>
          <t>P2と同じ</t>
        </is>
      </c>
      <c r="E131" s="9" t="inlineStr">
        <is>
          <t>P2と同じ</t>
        </is>
      </c>
      <c r="F131" s="9" t="inlineStr">
        <is>
          <t>P2と同じ</t>
        </is>
      </c>
      <c r="G131" s="9" t="inlineStr">
        <is>
          <t>P2と同じ</t>
        </is>
      </c>
      <c r="H131" s="9" t="inlineStr">
        <is>
          <t>クラスタエンドポイントへ直結（Proxy を通さない）</t>
        </is>
      </c>
      <c r="I131" s="9" t="inlineStr">
        <is>
          <t>数時間級のETLやピン留めだらけのバッチ向け。フェイルオーバー追従は AWS Advanced JDBC Wrapper の failover プラグイン</t>
        </is>
      </c>
    </row>
    <row r="132" ht="37" customHeight="1">
      <c r="B132" s="14" t="inlineStr">
        <is>
          <t>呼出元</t>
        </is>
      </c>
      <c r="C132" s="14" t="inlineStr">
        <is>
          <t>呼出元のタイムアウト</t>
        </is>
      </c>
      <c r="D132" s="12" t="inlineStr">
        <is>
          <t>P2と同じ</t>
        </is>
      </c>
      <c r="E132" s="12" t="inlineStr">
        <is>
          <t>P2と同じ</t>
        </is>
      </c>
      <c r="F132" s="12" t="inlineStr">
        <is>
          <t>P2と同じ</t>
        </is>
      </c>
      <c r="G132" s="12" t="inlineStr">
        <is>
          <t>P2と同じ</t>
        </is>
      </c>
      <c r="H132" s="12" t="inlineStr">
        <is>
          <t>ジョブ管理側（想定×2〜3）</t>
        </is>
      </c>
      <c r="I132" s="12" t="inlineStr">
        <is>
          <t>—</t>
        </is>
      </c>
    </row>
    <row r="133" ht="37" customHeight="1">
      <c r="B133" s="13" t="inlineStr">
        <is>
          <t>JBoss JTA</t>
        </is>
      </c>
      <c r="C133" s="13" t="inlineStr">
        <is>
          <t>アプリ期限（チャンク）</t>
        </is>
      </c>
      <c r="D133" s="9" t="inlineStr">
        <is>
          <t>P2と同じ</t>
        </is>
      </c>
      <c r="E133" s="9" t="inlineStr">
        <is>
          <t>P2と同じ</t>
        </is>
      </c>
      <c r="F133" s="9" t="inlineStr">
        <is>
          <t>P2と同じ</t>
        </is>
      </c>
      <c r="G133" s="9" t="inlineStr">
        <is>
          <t>P2と同じ</t>
        </is>
      </c>
      <c r="H133" s="9" t="inlineStr">
        <is>
          <t>チャンク単位300〜600秒</t>
        </is>
      </c>
      <c r="I133" s="9" t="inlineStr">
        <is>
          <t>—</t>
        </is>
      </c>
    </row>
    <row r="134" ht="22" customHeight="1">
      <c r="B134" s="14" t="inlineStr">
        <is>
          <t>プール</t>
        </is>
      </c>
      <c r="C134" s="14" t="inlineStr">
        <is>
          <t>取得待ち</t>
        </is>
      </c>
      <c r="D134" s="12" t="inlineStr">
        <is>
          <t>P2と同じ</t>
        </is>
      </c>
      <c r="E134" s="12" t="inlineStr">
        <is>
          <t>P2と同じ</t>
        </is>
      </c>
      <c r="F134" s="12" t="inlineStr">
        <is>
          <t>P2と同じ</t>
        </is>
      </c>
      <c r="G134" s="12" t="inlineStr">
        <is>
          <t>P2と同じ</t>
        </is>
      </c>
      <c r="H134" s="12" t="inlineStr">
        <is>
          <t>30,000ms</t>
        </is>
      </c>
      <c r="I134" s="12" t="inlineStr">
        <is>
          <t>—</t>
        </is>
      </c>
    </row>
    <row r="135" ht="37" customHeight="1">
      <c r="B135" s="13" t="inlineStr">
        <is>
          <t>JDBC</t>
        </is>
      </c>
      <c r="C135" s="13" t="inlineStr">
        <is>
          <t>query timeout</t>
        </is>
      </c>
      <c r="D135" s="9" t="inlineStr">
        <is>
          <t>P2と同じ</t>
        </is>
      </c>
      <c r="E135" s="9" t="inlineStr">
        <is>
          <t>P2と同じ</t>
        </is>
      </c>
      <c r="F135" s="9" t="inlineStr">
        <is>
          <t>P2と同じ</t>
        </is>
      </c>
      <c r="G135" s="9" t="inlineStr">
        <is>
          <t>P2と同じ</t>
        </is>
      </c>
      <c r="H135" s="9" t="inlineStr">
        <is>
          <t>setQueryTimeout 1,800秒</t>
        </is>
      </c>
      <c r="I135" s="9" t="inlineStr">
        <is>
          <t>—</t>
        </is>
      </c>
    </row>
    <row r="136" ht="37" customHeight="1">
      <c r="B136" s="14" t="inlineStr">
        <is>
          <t>Connector/J</t>
        </is>
      </c>
      <c r="C136" s="14" t="inlineStr">
        <is>
          <t>socketTimeout</t>
        </is>
      </c>
      <c r="D136" s="12" t="inlineStr">
        <is>
          <t>P2と同じ</t>
        </is>
      </c>
      <c r="E136" s="12" t="inlineStr">
        <is>
          <t>P2と同じ</t>
        </is>
      </c>
      <c r="F136" s="12" t="inlineStr">
        <is>
          <t>P2と同じ</t>
        </is>
      </c>
      <c r="G136" s="12" t="inlineStr">
        <is>
          <t>P2と同じ</t>
        </is>
      </c>
      <c r="H136" s="12" t="inlineStr">
        <is>
          <t>3,600,000ms（最長SQLより長く）</t>
        </is>
      </c>
      <c r="I136" s="12" t="inlineStr">
        <is>
          <t>—</t>
        </is>
      </c>
    </row>
    <row r="137" ht="22" customHeight="1">
      <c r="B137" s="13" t="inlineStr">
        <is>
          <t>Connector/J</t>
        </is>
      </c>
      <c r="C137" s="13" t="inlineStr">
        <is>
          <t>connectTimeout</t>
        </is>
      </c>
      <c r="D137" s="9" t="inlineStr">
        <is>
          <t>P2と同じ</t>
        </is>
      </c>
      <c r="E137" s="9" t="inlineStr">
        <is>
          <t>P2と同じ</t>
        </is>
      </c>
      <c r="F137" s="9" t="inlineStr">
        <is>
          <t>P2と同じ</t>
        </is>
      </c>
      <c r="G137" s="9" t="inlineStr">
        <is>
          <t>P2と同じ</t>
        </is>
      </c>
      <c r="H137" s="9" t="inlineStr">
        <is>
          <t>10,000ms</t>
        </is>
      </c>
      <c r="I137" s="9" t="inlineStr">
        <is>
          <t>—</t>
        </is>
      </c>
    </row>
    <row r="138" ht="37" customHeight="1">
      <c r="B138" s="14" t="inlineStr">
        <is>
          <t>RDS Proxy</t>
        </is>
      </c>
      <c r="C138" s="14" t="inlineStr">
        <is>
          <t>Borrow／IdleClient</t>
        </is>
      </c>
      <c r="D138" s="12" t="inlineStr">
        <is>
          <t>P2と同じ</t>
        </is>
      </c>
      <c r="E138" s="12" t="inlineStr">
        <is>
          <t>P2と同じ</t>
        </is>
      </c>
      <c r="F138" s="12" t="inlineStr">
        <is>
          <t>P2と同じ</t>
        </is>
      </c>
      <c r="G138" s="12" t="inlineStr">
        <is>
          <t>P2と同じ</t>
        </is>
      </c>
      <c r="H138" s="12" t="inlineStr">
        <is>
          <t>—（Proxy を通らない）</t>
        </is>
      </c>
      <c r="I138" s="12" t="inlineStr">
        <is>
          <t>24時間寿命・IdleClientTimeout の制約から外れる</t>
        </is>
      </c>
    </row>
    <row r="139" ht="52" customHeight="1">
      <c r="B139" s="13" t="inlineStr">
        <is>
          <t>Aurora</t>
        </is>
      </c>
      <c r="C139" s="13" t="inlineStr">
        <is>
          <t>接続数の上限管理</t>
        </is>
      </c>
      <c r="D139" s="9" t="inlineStr">
        <is>
          <t>P2と同じ</t>
        </is>
      </c>
      <c r="E139" s="9" t="inlineStr">
        <is>
          <t>P2と同じ</t>
        </is>
      </c>
      <c r="F139" s="9" t="inlineStr">
        <is>
          <t>P2と同じ</t>
        </is>
      </c>
      <c r="G139" s="9" t="inlineStr">
        <is>
          <t>P2と同じ</t>
        </is>
      </c>
      <c r="H139" s="9" t="inlineStr">
        <is>
          <t>バッチ専用ユーザーに MAX_USER_CONNECTIONS を設定</t>
        </is>
      </c>
      <c r="I139" s="9" t="inlineStr">
        <is>
          <t>Proxy による接続数の保護がなくなるため</t>
        </is>
      </c>
    </row>
    <row r="140" ht="67" customHeight="1">
      <c r="B140" s="14" t="inlineStr">
        <is>
          <t>Aurora</t>
        </is>
      </c>
      <c r="C140" s="14" t="inlineStr">
        <is>
          <t>innodb_lock_wait_timeout</t>
        </is>
      </c>
      <c r="D140" s="12" t="inlineStr">
        <is>
          <t>P2と同じ</t>
        </is>
      </c>
      <c r="E140" s="12" t="inlineStr">
        <is>
          <t>P2と同じ</t>
        </is>
      </c>
      <c r="F140" s="12" t="inlineStr">
        <is>
          <t>P2と同じ</t>
        </is>
      </c>
      <c r="G140" s="12" t="inlineStr">
        <is>
          <t>P2と同じ</t>
        </is>
      </c>
      <c r="H140" s="12" t="inlineStr">
        <is>
          <t>300秒（SET SESSION でよい。Proxy がないのでピン留めの問題なし）</t>
        </is>
      </c>
      <c r="I140" s="12" t="inlineStr">
        <is>
          <t>—</t>
        </is>
      </c>
    </row>
    <row r="141" ht="37" customHeight="1">
      <c r="B141" s="13" t="inlineStr">
        <is>
          <t>Aurora</t>
        </is>
      </c>
      <c r="C141" s="13" t="inlineStr">
        <is>
          <t>net_write_timeout</t>
        </is>
      </c>
      <c r="D141" s="9" t="inlineStr">
        <is>
          <t>既定60秒</t>
        </is>
      </c>
      <c r="E141" s="9" t="inlineStr">
        <is>
          <t>既定60秒</t>
        </is>
      </c>
      <c r="F141" s="9" t="inlineStr">
        <is>
          <t>既定60秒</t>
        </is>
      </c>
      <c r="G141" s="9" t="inlineStr">
        <is>
          <t>既定60秒</t>
        </is>
      </c>
      <c r="H141" s="9" t="inlineStr">
        <is>
          <t>600秒（大量行を逐次読みする場合）</t>
        </is>
      </c>
      <c r="I141" s="9" t="inlineStr">
        <is>
          <t>—</t>
        </is>
      </c>
    </row>
    <row r="142" ht="37" customHeight="1">
      <c r="B142" s="14" t="inlineStr">
        <is>
          <t>Aurora</t>
        </is>
      </c>
      <c r="C142" s="14" t="inlineStr">
        <is>
          <t>wait_timeout</t>
        </is>
      </c>
      <c r="D142" s="12" t="inlineStr">
        <is>
          <t>28,800秒</t>
        </is>
      </c>
      <c r="E142" s="12" t="inlineStr">
        <is>
          <t>28,800秒</t>
        </is>
      </c>
      <c r="F142" s="12" t="inlineStr">
        <is>
          <t>28,800秒</t>
        </is>
      </c>
      <c r="G142" s="12" t="inlineStr">
        <is>
          <t>28,800秒</t>
        </is>
      </c>
      <c r="H142" s="12" t="inlineStr">
        <is>
          <t>28,800秒（必要ならセッションで延長）</t>
        </is>
      </c>
      <c r="I142" s="12" t="inlineStr">
        <is>
          <t>—</t>
        </is>
      </c>
    </row>
  </sheetData>
  <mergeCells count="16">
    <mergeCell ref="B56:I56"/>
    <mergeCell ref="D2:I2"/>
    <mergeCell ref="B2:C2"/>
    <mergeCell ref="B30:I30"/>
    <mergeCell ref="B78:I78"/>
    <mergeCell ref="B129:I129"/>
    <mergeCell ref="B6:I6"/>
    <mergeCell ref="B54:I54"/>
    <mergeCell ref="B104:I104"/>
    <mergeCell ref="B80:I80"/>
    <mergeCell ref="B102:I102"/>
    <mergeCell ref="B1:I1"/>
    <mergeCell ref="B8:I8"/>
    <mergeCell ref="B32:I32"/>
    <mergeCell ref="B4:I4"/>
    <mergeCell ref="B127:I127"/>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9.xml><?xml version="1.0" encoding="utf-8"?>
<worksheet xmlns="http://schemas.openxmlformats.org/spreadsheetml/2006/main">
  <sheetPr>
    <tabColor rgb="00A6A6A6"/>
    <outlinePr summaryBelow="1" summaryRight="1"/>
    <pageSetUpPr fitToPage="1"/>
  </sheetPr>
  <dimension ref="A1:H26"/>
  <sheetViews>
    <sheetView showGridLines="0" zoomScale="100" workbookViewId="0">
      <selection activeCell="A1" sqref="A1"/>
    </sheetView>
  </sheetViews>
  <sheetFormatPr baseColWidth="8" defaultRowHeight="15"/>
  <cols>
    <col width="2" customWidth="1" min="1" max="1"/>
    <col width="20" customWidth="1" min="2" max="2"/>
    <col width="30" customWidth="1" min="3" max="3"/>
    <col width="30" customWidth="1" min="4" max="4"/>
    <col width="30" customWidth="1" min="5" max="5"/>
    <col width="32" customWidth="1" min="6" max="6"/>
    <col width="16" customWidth="1" min="7" max="7"/>
    <col width="10" customWidth="1" min="8" max="8"/>
  </cols>
  <sheetData>
    <row r="1" ht="36" customHeight="1">
      <c r="B1" s="1" t="inlineStr">
        <is>
          <t>パターン比較と選び方</t>
        </is>
      </c>
      <c r="C1" s="2" t="n"/>
      <c r="D1" s="2" t="n"/>
      <c r="E1" s="2" t="n"/>
      <c r="F1" s="2" t="n"/>
      <c r="G1" s="2" t="n"/>
      <c r="H1" s="2" t="n"/>
    </row>
    <row r="2" ht="18" customHeight="1">
      <c r="B2" s="20" t="inlineStr">
        <is>
          <t>« 00_表紙（目次）へ戻る</t>
        </is>
      </c>
      <c r="D2" s="21" t="inlineStr">
        <is>
          <t>Aurora Serverless v2 共有構成のタイムアウト設計ガイド　｜　パターン比較と選び方</t>
        </is>
      </c>
    </row>
    <row r="3" ht="6" customHeight="1"/>
    <row r="4" ht="21" customHeight="1">
      <c r="B4" s="4" t="inlineStr">
        <is>
          <t>どのパターンを選ぶかは「処理時間の上限」「部品を分けられるか」「バッチがオンライン時間帯に動くか」「2DB更新の原子性が必要か」で決まります。</t>
        </is>
      </c>
    </row>
    <row r="5" ht="10" customHeight="1"/>
    <row r="6" ht="24" customHeight="1">
      <c r="B6" s="5" t="inlineStr">
        <is>
          <t xml:space="preserve">　パターン比較</t>
        </is>
      </c>
    </row>
    <row r="7" ht="4" customHeight="1"/>
    <row r="8" ht="23" customHeight="1">
      <c r="B8" s="6" t="inlineStr">
        <is>
          <t>パターン</t>
        </is>
      </c>
      <c r="C8" s="6" t="inlineStr">
        <is>
          <t>概要</t>
        </is>
      </c>
      <c r="D8" s="6" t="inlineStr">
        <is>
          <t>向いている状況</t>
        </is>
      </c>
      <c r="E8" s="6" t="inlineStr">
        <is>
          <t>長所</t>
        </is>
      </c>
      <c r="F8" s="6" t="inlineStr">
        <is>
          <t>短所・リスク</t>
        </is>
      </c>
      <c r="G8" s="6" t="inlineStr">
        <is>
          <t>コスト・運用</t>
        </is>
      </c>
      <c r="H8" s="6" t="inlineStr">
        <is>
          <t>推奨度</t>
        </is>
      </c>
    </row>
    <row r="9" ht="37" customHeight="1">
      <c r="B9" s="13" t="inlineStr">
        <is>
          <t>P0 既定値のまま</t>
        </is>
      </c>
      <c r="C9" s="9" t="inlineStr">
        <is>
          <t>何も設定しない</t>
        </is>
      </c>
      <c r="D9" s="9" t="inlineStr">
        <is>
          <t>（なし）</t>
        </is>
      </c>
      <c r="E9" s="9" t="inlineStr">
        <is>
          <t>作業がない</t>
        </is>
      </c>
      <c r="F9" s="9" t="inlineStr">
        <is>
          <t>ゾンビ処理、二重登録、間欠502、連鎖障害</t>
        </is>
      </c>
      <c r="G9" s="9" t="inlineStr">
        <is>
          <t>—</t>
        </is>
      </c>
      <c r="H9" s="9" t="inlineStr">
        <is>
          <t>×</t>
        </is>
      </c>
    </row>
    <row r="10" ht="67" customHeight="1">
      <c r="B10" s="14" t="inlineStr">
        <is>
          <t>P1 共有・リクエスト単位調整型</t>
        </is>
      </c>
      <c r="C10" s="12" t="inlineStr">
        <is>
          <t>ALB・ECS・Proxy を1つずつ共有し、期限はメソッド単位で設定</t>
        </is>
      </c>
      <c r="D10" s="12" t="inlineStr">
        <is>
          <t>小規模。部品を分けられない</t>
        </is>
      </c>
      <c r="E10" s="12" t="inlineStr">
        <is>
          <t>構成が簡単で安い</t>
        </is>
      </c>
      <c r="F10" s="12" t="inlineStr">
        <is>
          <t>共有値（ALB idle・借用待ち・socketTimeout）が最長経路に引っ張られる。重いAPIが他経路を巻き込む</t>
        </is>
      </c>
      <c r="G10" s="12" t="inlineStr">
        <is>
          <t>低</t>
        </is>
      </c>
      <c r="H10" s="12" t="inlineStr">
        <is>
          <t>△</t>
        </is>
      </c>
    </row>
    <row r="11" ht="52" customHeight="1">
      <c r="B11" s="13" t="inlineStr">
        <is>
          <t>P2 経路分離型</t>
        </is>
      </c>
      <c r="C11" s="9" t="inlineStr">
        <is>
          <t>ALBを2つ、ECSを3サービス、Proxy をオンライン用・バッチ用に分ける</t>
        </is>
      </c>
      <c r="D11" s="9" t="inlineStr">
        <is>
          <t>本件（イントラAPIが最重、バッチが併走）</t>
        </is>
      </c>
      <c r="E11" s="9" t="inlineStr">
        <is>
          <t>経路ごとに最適な値。障害を区画に閉じ込める（バルクヘッド）</t>
        </is>
      </c>
      <c r="F11" s="9" t="inlineStr">
        <is>
          <t>部品が増える（ALB＋1、Proxy＋2）</t>
        </is>
      </c>
      <c r="G11" s="9" t="inlineStr">
        <is>
          <t>中</t>
        </is>
      </c>
      <c r="H11" s="9" t="inlineStr">
        <is>
          <t>◎（推奨）</t>
        </is>
      </c>
    </row>
    <row r="12" ht="52" customHeight="1">
      <c r="B12" s="14" t="inlineStr">
        <is>
          <t>P3 API Gateway 延長型</t>
        </is>
      </c>
      <c r="C12" s="12" t="inlineStr">
        <is>
          <t>Regional REST API の統合タイムアウトを29秒超へ</t>
        </is>
      </c>
      <c r="D12" s="12" t="inlineStr">
        <is>
          <t>外部API・Salesforce に30〜60秒の同期処理が残る</t>
        </is>
      </c>
      <c r="E12" s="12" t="inlineStr">
        <is>
          <t>アプリの作り直しが少ない</t>
        </is>
      </c>
      <c r="F12" s="12" t="inlineStr">
        <is>
          <t>スロットル枠が下がる場合あり。呼出元の待ち時間が延びる。Salesforce の累計120秒制限</t>
        </is>
      </c>
      <c r="G12" s="12" t="inlineStr">
        <is>
          <t>低〜中</t>
        </is>
      </c>
      <c r="H12" s="12" t="inlineStr">
        <is>
          <t>○（限定的に）</t>
        </is>
      </c>
    </row>
    <row r="13" ht="37" customHeight="1">
      <c r="B13" s="13" t="inlineStr">
        <is>
          <t>P4 非同期型</t>
        </is>
      </c>
      <c r="C13" s="9" t="inlineStr">
        <is>
          <t>受付→ワーカー→照会／通知</t>
        </is>
      </c>
      <c r="D13" s="9" t="inlineStr">
        <is>
          <t>処理が API Gateway 上限や2分を超える、件数が読めない</t>
        </is>
      </c>
      <c r="E13" s="9" t="inlineStr">
        <is>
          <t>タイムアウト問題を根本解決。再実行・進捗管理がしやすい</t>
        </is>
      </c>
      <c r="F13" s="9" t="inlineStr">
        <is>
          <t>実装量が増える。結果がすぐには返らない</t>
        </is>
      </c>
      <c r="G13" s="9" t="inlineStr">
        <is>
          <t>中〜高</t>
        </is>
      </c>
      <c r="H13" s="9" t="inlineStr">
        <is>
          <t>◎（長時間処理）</t>
        </is>
      </c>
    </row>
    <row r="14" ht="37" customHeight="1">
      <c r="B14" s="14" t="inlineStr">
        <is>
          <t>P5 バッチ直結型</t>
        </is>
      </c>
      <c r="C14" s="12" t="inlineStr">
        <is>
          <t>バッチは Proxy を通さずクラスタへ直結</t>
        </is>
      </c>
      <c r="D14" s="12" t="inlineStr">
        <is>
          <t>数時間級のETL、ピン留めの多いバッチ</t>
        </is>
      </c>
      <c r="E14" s="12" t="inlineStr">
        <is>
          <t>Proxy の制約（24時間、IdleClient、借用待ち）から解放</t>
        </is>
      </c>
      <c r="F14" s="12" t="inlineStr">
        <is>
          <t>フェイルオーバー追従と接続数管理を自前で行う</t>
        </is>
      </c>
      <c r="G14" s="12" t="inlineStr">
        <is>
          <t>中</t>
        </is>
      </c>
      <c r="H14" s="12" t="inlineStr">
        <is>
          <t>○（大規模バッチ）</t>
        </is>
      </c>
    </row>
    <row r="15" ht="10" customHeight="1"/>
    <row r="16" ht="24" customHeight="1">
      <c r="B16" s="5" t="inlineStr">
        <is>
          <t xml:space="preserve">　選び方（質問に順番に答える）</t>
        </is>
      </c>
    </row>
    <row r="17" ht="4" customHeight="1"/>
    <row r="18" ht="23" customHeight="1">
      <c r="B18" s="6" t="inlineStr">
        <is>
          <t>順番</t>
        </is>
      </c>
      <c r="C18" s="6" t="inlineStr">
        <is>
          <t>質問</t>
        </is>
      </c>
      <c r="D18" s="6" t="inlineStr">
        <is>
          <t>はい</t>
        </is>
      </c>
      <c r="E18" s="6" t="inlineStr">
        <is>
          <t>いいえ</t>
        </is>
      </c>
      <c r="F18" s="7" t="n"/>
      <c r="G18" s="7" t="n"/>
      <c r="H18" s="8" t="n"/>
    </row>
    <row r="19" ht="37" customHeight="1">
      <c r="B19" s="28" t="inlineStr">
        <is>
          <t>1</t>
        </is>
      </c>
      <c r="C19" s="9" t="inlineStr">
        <is>
          <t>外部API・Salesforce の処理は、P99 で25秒以内に終わるか？</t>
        </is>
      </c>
      <c r="D19" s="9" t="inlineStr">
        <is>
          <t>2へ</t>
        </is>
      </c>
      <c r="E19" s="9" t="inlineStr">
        <is>
          <t>55秒以内なら P3。それ以上なら P4（非同期）</t>
        </is>
      </c>
      <c r="F19" s="10" t="n"/>
      <c r="G19" s="10" t="n"/>
      <c r="H19" s="11" t="n"/>
    </row>
    <row r="20" ht="37" customHeight="1">
      <c r="B20" s="29" t="inlineStr">
        <is>
          <t>2</t>
        </is>
      </c>
      <c r="C20" s="12" t="inlineStr">
        <is>
          <t>イントラAPIの処理は、P99 で120秒以内に終わるか？</t>
        </is>
      </c>
      <c r="D20" s="12" t="inlineStr">
        <is>
          <t>3へ</t>
        </is>
      </c>
      <c r="E20" s="12" t="inlineStr">
        <is>
          <t>その処理だけ P4（非同期）。または夜間バッチへ移す</t>
        </is>
      </c>
      <c r="F20" s="10" t="n"/>
      <c r="G20" s="10" t="n"/>
      <c r="H20" s="11" t="n"/>
    </row>
    <row r="21" ht="52" customHeight="1">
      <c r="B21" s="28" t="inlineStr">
        <is>
          <t>3</t>
        </is>
      </c>
      <c r="C21" s="9" t="inlineStr">
        <is>
          <t>ALB・ECSサービス・RDS Proxy を経路ごとに分けられるか？（費用・運用体制）</t>
        </is>
      </c>
      <c r="D21" s="9" t="inlineStr">
        <is>
          <t>P2（推奨）</t>
        </is>
      </c>
      <c r="E21" s="9" t="inlineStr">
        <is>
          <t>P1（期限はメソッド単位で設定、イントラAPIは60秒以内に抑える）</t>
        </is>
      </c>
      <c r="F21" s="10" t="n"/>
      <c r="G21" s="10" t="n"/>
      <c r="H21" s="11" t="n"/>
    </row>
    <row r="22" ht="37" customHeight="1">
      <c r="B22" s="29" t="inlineStr">
        <is>
          <t>4</t>
        </is>
      </c>
      <c r="C22" s="12" t="inlineStr">
        <is>
          <t>バッチがオンライン時間帯に動くか？</t>
        </is>
      </c>
      <c r="D22" s="12" t="inlineStr">
        <is>
          <t>バッチ用 Proxy を分ける（P2 の考え方）。ロック待ちと接続枠を分離</t>
        </is>
      </c>
      <c r="E22" s="12" t="inlineStr">
        <is>
          <t>共有でもよいが、MaxConnectionsPercent でバッチの枠を制限</t>
        </is>
      </c>
      <c r="F22" s="10" t="n"/>
      <c r="G22" s="10" t="n"/>
      <c r="H22" s="11" t="n"/>
    </row>
    <row r="23" ht="52" customHeight="1">
      <c r="B23" s="28" t="inlineStr">
        <is>
          <t>5</t>
        </is>
      </c>
      <c r="C23" s="9" t="inlineStr">
        <is>
          <t>バッチに数時間かかる SQL や、ピン留めが避けられない処理があるか？</t>
        </is>
      </c>
      <c r="D23" s="9" t="inlineStr">
        <is>
          <t>P5（直結）を検討</t>
        </is>
      </c>
      <c r="E23" s="9" t="inlineStr">
        <is>
          <t>バッチ用 Proxy のままでよい</t>
        </is>
      </c>
      <c r="F23" s="10" t="n"/>
      <c r="G23" s="10" t="n"/>
      <c r="H23" s="11" t="n"/>
    </row>
    <row r="24" ht="67" customHeight="1">
      <c r="B24" s="29" t="inlineStr">
        <is>
          <t>6</t>
        </is>
      </c>
      <c r="C24" s="12" t="inlineStr">
        <is>
          <t>2DBを1トランザクションで更新する必要があるか？</t>
        </is>
      </c>
      <c r="D24" s="12" t="inlineStr">
        <is>
          <t>XA を RDS Proxy 経由で PoC。ObjectStore 永続化、node-identifier 一意、PREPARED 監視</t>
        </is>
      </c>
      <c r="E24" s="12" t="inlineStr">
        <is>
          <t>1DBずつのトランザクション＋Saga／Outbox で設計（推奨）</t>
        </is>
      </c>
      <c r="F24" s="10" t="n"/>
      <c r="G24" s="10" t="n"/>
      <c r="H24" s="11" t="n"/>
    </row>
    <row r="25" ht="4" customHeight="1"/>
    <row r="26" ht="27" customHeight="1">
      <c r="B26" s="15" t="inlineStr">
        <is>
          <r>
            <rPr>
              <rFont val="Meiryo UI"/>
              <b val="1"/>
              <sz val="10"/>
            </rPr>
            <t xml:space="preserve">【決め方のコツ】 </t>
          </r>
          <r>
            <rPr>
              <rFont val="Meiryo UI"/>
              <sz val="10"/>
            </rPr>
            <t>アプリ期限は「業務で合意した上限」か「実測P99の2〜3倍」のうち小さいほう。外側の値は、そのアプリ期限から機械的に決まる（11_計算シート）。</t>
          </r>
        </is>
      </c>
      <c r="C26" s="16" t="n"/>
      <c r="D26" s="16" t="n"/>
      <c r="E26" s="16" t="n"/>
      <c r="F26" s="16" t="n"/>
      <c r="G26" s="16" t="n"/>
      <c r="H26" s="17" t="n"/>
    </row>
  </sheetData>
  <mergeCells count="14">
    <mergeCell ref="B2:C2"/>
    <mergeCell ref="E18:H18"/>
    <mergeCell ref="E23:H23"/>
    <mergeCell ref="B26:H26"/>
    <mergeCell ref="B1:H1"/>
    <mergeCell ref="B4:H4"/>
    <mergeCell ref="D2:H2"/>
    <mergeCell ref="E20:H20"/>
    <mergeCell ref="E21:H21"/>
    <mergeCell ref="B6:H6"/>
    <mergeCell ref="B16:H16"/>
    <mergeCell ref="E19:H19"/>
    <mergeCell ref="E24:H24"/>
    <mergeCell ref="E22:H22"/>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0.xml><?xml version="1.0" encoding="utf-8"?>
<worksheet xmlns="http://schemas.openxmlformats.org/spreadsheetml/2006/main">
  <sheetPr>
    <tabColor rgb="00A6A6A6"/>
    <outlinePr summaryBelow="1" summaryRight="1"/>
    <pageSetUpPr fitToPage="1"/>
  </sheetPr>
  <dimension ref="A1:AN97"/>
  <sheetViews>
    <sheetView showGridLines="0" zoomScale="100" workbookViewId="0">
      <pane xSplit="4" topLeftCell="E1" activePane="topRight" state="frozen"/>
      <selection pane="topRight" activeCell="A1" sqref="A1"/>
    </sheetView>
  </sheetViews>
  <sheetFormatPr baseColWidth="8" defaultRowHeight="15"/>
  <cols>
    <col width="2" customWidth="1" min="1" max="1"/>
    <col width="22" customWidth="1" min="2" max="2"/>
    <col width="34" customWidth="1" min="3" max="3"/>
    <col width="12"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s>
  <sheetData>
    <row r="1" ht="36" customHeight="1">
      <c r="B1" s="1" t="inlineStr">
        <is>
          <t>動作イメージ：タイムアウトの梯子図と時系列</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B2" s="20" t="inlineStr">
        <is>
          <t>« 00_表紙（目次）へ戻る</t>
        </is>
      </c>
      <c r="D2" s="21" t="inlineStr">
        <is>
          <t>Aurora Serverless v2 共有構成のタイムアウト設計ガイド　｜　動作イメージ：タイムアウトの梯子図と時系列</t>
        </is>
      </c>
    </row>
    <row r="3" ht="6" customHeight="1"/>
    <row r="4" ht="36" customHeight="1">
      <c r="B4" s="4" t="inlineStr">
        <is>
          <t>横棒の長さが「何秒まで待つか」です。同じ経路の中で、上（外側）ほど長く、下（内側）ほど短くなっていれば正しい順序です。濃い棒＝応答の期限、中くらい＝ふだんは鳴らない安全ベルト、薄い棒＝順番待ち（期限の中に収まる）。</t>
        </is>
      </c>
    </row>
    <row r="5" ht="6" customHeight="1"/>
    <row r="6" ht="21" customHeight="1">
      <c r="B6" s="30" t="inlineStr">
        <is>
          <t>オンライン経路（P2・秒）　（1マス＝5秒）</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row>
    <row r="7" ht="16" customHeight="1">
      <c r="B7" s="32" t="inlineStr">
        <is>
          <t>経路</t>
        </is>
      </c>
      <c r="C7" s="32" t="inlineStr">
        <is>
          <t>タイマー</t>
        </is>
      </c>
      <c r="D7" s="32" t="inlineStr">
        <is>
          <t>値</t>
        </is>
      </c>
      <c r="E7" s="33" t="n"/>
      <c r="F7" s="33" t="inlineStr">
        <is>
          <t>10</t>
        </is>
      </c>
      <c r="G7" s="33" t="n"/>
      <c r="H7" s="33" t="inlineStr">
        <is>
          <t>20</t>
        </is>
      </c>
      <c r="I7" s="33" t="n"/>
      <c r="J7" s="33" t="inlineStr">
        <is>
          <t>30</t>
        </is>
      </c>
      <c r="K7" s="33" t="n"/>
      <c r="L7" s="33" t="inlineStr">
        <is>
          <t>40</t>
        </is>
      </c>
      <c r="M7" s="33" t="n"/>
      <c r="N7" s="33" t="inlineStr">
        <is>
          <t>50</t>
        </is>
      </c>
      <c r="O7" s="33" t="n"/>
      <c r="P7" s="33" t="inlineStr">
        <is>
          <t>60</t>
        </is>
      </c>
      <c r="Q7" s="33" t="n"/>
      <c r="R7" s="33" t="inlineStr">
        <is>
          <t>70</t>
        </is>
      </c>
      <c r="S7" s="33" t="n"/>
      <c r="T7" s="33" t="inlineStr">
        <is>
          <t>80</t>
        </is>
      </c>
      <c r="U7" s="33" t="n"/>
      <c r="V7" s="33" t="inlineStr">
        <is>
          <t>90</t>
        </is>
      </c>
      <c r="W7" s="33" t="n"/>
      <c r="X7" s="33" t="inlineStr">
        <is>
          <t>100</t>
        </is>
      </c>
      <c r="Y7" s="33" t="n"/>
      <c r="Z7" s="33" t="inlineStr">
        <is>
          <t>110</t>
        </is>
      </c>
      <c r="AA7" s="33" t="n"/>
      <c r="AB7" s="33" t="inlineStr">
        <is>
          <t>120</t>
        </is>
      </c>
      <c r="AC7" s="33" t="n"/>
      <c r="AD7" s="33" t="inlineStr">
        <is>
          <t>130</t>
        </is>
      </c>
      <c r="AE7" s="33" t="n"/>
      <c r="AF7" s="33" t="inlineStr">
        <is>
          <t>140</t>
        </is>
      </c>
      <c r="AG7" s="33" t="n"/>
      <c r="AH7" s="33" t="inlineStr">
        <is>
          <t>150</t>
        </is>
      </c>
      <c r="AI7" s="33" t="n"/>
      <c r="AJ7" s="33" t="inlineStr">
        <is>
          <t>160</t>
        </is>
      </c>
      <c r="AK7" s="33" t="n"/>
      <c r="AL7" s="33" t="inlineStr">
        <is>
          <t>170</t>
        </is>
      </c>
    </row>
    <row r="8" ht="18" customHeight="1">
      <c r="B8" s="34" t="inlineStr">
        <is>
          <t>インターネットAPI</t>
        </is>
      </c>
      <c r="C8" s="35" t="n"/>
      <c r="D8" s="35" t="n"/>
      <c r="E8" s="35" t="n"/>
      <c r="F8" s="35" t="n"/>
      <c r="G8" s="35" t="n"/>
      <c r="H8" s="35" t="n"/>
      <c r="I8" s="35" t="n"/>
      <c r="J8" s="35" t="n"/>
      <c r="K8" s="35" t="n"/>
      <c r="L8" s="35" t="n"/>
      <c r="M8" s="35" t="n"/>
      <c r="N8" s="35" t="n"/>
      <c r="O8" s="35" t="n"/>
      <c r="P8" s="35" t="n"/>
      <c r="Q8" s="35" t="n"/>
      <c r="R8" s="35" t="n"/>
      <c r="S8" s="35" t="n"/>
      <c r="T8" s="35" t="n"/>
      <c r="U8" s="35" t="n"/>
      <c r="V8" s="35" t="n"/>
      <c r="W8" s="35" t="n"/>
      <c r="X8" s="35" t="n"/>
      <c r="Y8" s="35" t="n"/>
      <c r="Z8" s="35" t="n"/>
      <c r="AA8" s="35" t="n"/>
      <c r="AB8" s="35" t="n"/>
      <c r="AC8" s="35" t="n"/>
      <c r="AD8" s="35" t="n"/>
      <c r="AE8" s="35" t="n"/>
      <c r="AF8" s="35" t="n"/>
      <c r="AG8" s="35" t="n"/>
      <c r="AH8" s="35" t="n"/>
      <c r="AI8" s="35" t="n"/>
      <c r="AJ8" s="35" t="n"/>
      <c r="AK8" s="35" t="n"/>
      <c r="AL8" s="35" t="n"/>
    </row>
    <row r="9" ht="15" customHeight="1">
      <c r="C9" s="36" t="inlineStr">
        <is>
          <t>呼出元</t>
        </is>
      </c>
      <c r="D9" s="37" t="inlineStr">
        <is>
          <t>40秒</t>
        </is>
      </c>
      <c r="E9" s="38" t="n"/>
      <c r="F9" s="38" t="n"/>
      <c r="G9" s="38" t="n"/>
      <c r="H9" s="38" t="n"/>
      <c r="I9" s="38" t="n"/>
      <c r="J9" s="38" t="n"/>
      <c r="K9" s="38" t="n"/>
      <c r="L9" s="38" t="n"/>
      <c r="M9" s="39" t="n"/>
      <c r="N9" s="39" t="n"/>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c r="AJ9" s="39" t="n"/>
      <c r="AK9" s="39" t="n"/>
      <c r="AL9" s="39" t="n"/>
    </row>
    <row r="10" ht="15" customHeight="1">
      <c r="C10" s="36" t="inlineStr">
        <is>
          <t>API Gateway 統合TO</t>
        </is>
      </c>
      <c r="D10" s="37" t="inlineStr">
        <is>
          <t>29秒</t>
        </is>
      </c>
      <c r="E10" s="38" t="n"/>
      <c r="F10" s="38" t="n"/>
      <c r="G10" s="38" t="n"/>
      <c r="H10" s="38" t="n"/>
      <c r="I10" s="38" t="n"/>
      <c r="J10" s="38" t="n"/>
      <c r="K10" s="39" t="n"/>
      <c r="L10" s="39" t="n"/>
      <c r="M10" s="39" t="n"/>
      <c r="N10" s="39" t="n"/>
      <c r="O10" s="39" t="n"/>
      <c r="P10" s="39" t="n"/>
      <c r="Q10" s="39" t="n"/>
      <c r="R10" s="39" t="n"/>
      <c r="S10" s="39" t="n"/>
      <c r="T10" s="39" t="n"/>
      <c r="U10" s="39" t="n"/>
      <c r="V10" s="39" t="n"/>
      <c r="W10" s="39" t="n"/>
      <c r="X10" s="39" t="n"/>
      <c r="Y10" s="39" t="n"/>
      <c r="Z10" s="39" t="n"/>
      <c r="AA10" s="39" t="n"/>
      <c r="AB10" s="39" t="n"/>
      <c r="AC10" s="39" t="n"/>
      <c r="AD10" s="39" t="n"/>
      <c r="AE10" s="39" t="n"/>
      <c r="AF10" s="39" t="n"/>
      <c r="AG10" s="39" t="n"/>
      <c r="AH10" s="39" t="n"/>
      <c r="AI10" s="39" t="n"/>
      <c r="AJ10" s="39" t="n"/>
      <c r="AK10" s="39" t="n"/>
      <c r="AL10" s="39" t="n"/>
    </row>
    <row r="11" ht="15" customHeight="1">
      <c r="C11" s="36" t="inlineStr">
        <is>
          <t>ALB idle（安全ベルト）</t>
        </is>
      </c>
      <c r="D11" s="37" t="inlineStr">
        <is>
          <t>60秒</t>
        </is>
      </c>
      <c r="E11" s="40" t="n"/>
      <c r="F11" s="40" t="n"/>
      <c r="G11" s="40" t="n"/>
      <c r="H11" s="40" t="n"/>
      <c r="I11" s="40" t="n"/>
      <c r="J11" s="40" t="n"/>
      <c r="K11" s="40" t="n"/>
      <c r="L11" s="40" t="n"/>
      <c r="M11" s="40" t="n"/>
      <c r="N11" s="40" t="n"/>
      <c r="O11" s="40" t="n"/>
      <c r="P11" s="40" t="n"/>
      <c r="Q11" s="39" t="n"/>
      <c r="R11" s="39" t="n"/>
      <c r="S11" s="39" t="n"/>
      <c r="T11" s="39" t="n"/>
      <c r="U11" s="39" t="n"/>
      <c r="V11" s="39" t="n"/>
      <c r="W11" s="39" t="n"/>
      <c r="X11" s="39" t="n"/>
      <c r="Y11" s="39" t="n"/>
      <c r="Z11" s="39" t="n"/>
      <c r="AA11" s="39" t="n"/>
      <c r="AB11" s="39" t="n"/>
      <c r="AC11" s="39" t="n"/>
      <c r="AD11" s="39" t="n"/>
      <c r="AE11" s="39" t="n"/>
      <c r="AF11" s="39" t="n"/>
      <c r="AG11" s="39" t="n"/>
      <c r="AH11" s="39" t="n"/>
      <c r="AI11" s="39" t="n"/>
      <c r="AJ11" s="39" t="n"/>
      <c r="AK11" s="39" t="n"/>
      <c r="AL11" s="39" t="n"/>
    </row>
    <row r="12" ht="15" customHeight="1">
      <c r="C12" s="36" t="inlineStr">
        <is>
          <t>アプリ期限（JTA）</t>
        </is>
      </c>
      <c r="D12" s="37" t="inlineStr">
        <is>
          <t>25秒</t>
        </is>
      </c>
      <c r="E12" s="38" t="n"/>
      <c r="F12" s="38" t="n"/>
      <c r="G12" s="38" t="n"/>
      <c r="H12" s="38" t="n"/>
      <c r="I12" s="38" t="n"/>
      <c r="J12" s="39" t="n"/>
      <c r="K12" s="39" t="n"/>
      <c r="L12" s="39" t="n"/>
      <c r="M12" s="39" t="n"/>
      <c r="N12" s="39" t="n"/>
      <c r="O12" s="39" t="n"/>
      <c r="P12" s="39" t="n"/>
      <c r="Q12" s="39" t="n"/>
      <c r="R12" s="39" t="n"/>
      <c r="S12" s="39" t="n"/>
      <c r="T12" s="39" t="n"/>
      <c r="U12" s="39" t="n"/>
      <c r="V12" s="39" t="n"/>
      <c r="W12" s="39" t="n"/>
      <c r="X12" s="39" t="n"/>
      <c r="Y12" s="39" t="n"/>
      <c r="Z12" s="39" t="n"/>
      <c r="AA12" s="39" t="n"/>
      <c r="AB12" s="39" t="n"/>
      <c r="AC12" s="39" t="n"/>
      <c r="AD12" s="39" t="n"/>
      <c r="AE12" s="39" t="n"/>
      <c r="AF12" s="39" t="n"/>
      <c r="AG12" s="39" t="n"/>
      <c r="AH12" s="39" t="n"/>
      <c r="AI12" s="39" t="n"/>
      <c r="AJ12" s="39" t="n"/>
      <c r="AK12" s="39" t="n"/>
      <c r="AL12" s="39" t="n"/>
    </row>
    <row r="13" ht="15" customHeight="1">
      <c r="C13" s="36" t="inlineStr">
        <is>
          <t>socketTimeout（安全ベルト）</t>
        </is>
      </c>
      <c r="D13" s="37" t="inlineStr">
        <is>
          <t>35秒</t>
        </is>
      </c>
      <c r="E13" s="40" t="n"/>
      <c r="F13" s="40" t="n"/>
      <c r="G13" s="40" t="n"/>
      <c r="H13" s="40" t="n"/>
      <c r="I13" s="40" t="n"/>
      <c r="J13" s="40" t="n"/>
      <c r="K13" s="40" t="n"/>
      <c r="L13" s="39" t="n"/>
      <c r="M13" s="39" t="n"/>
      <c r="N13" s="39" t="n"/>
      <c r="O13" s="39" t="n"/>
      <c r="P13" s="39" t="n"/>
      <c r="Q13" s="39" t="n"/>
      <c r="R13" s="39" t="n"/>
      <c r="S13" s="39" t="n"/>
      <c r="T13" s="39" t="n"/>
      <c r="U13" s="39" t="n"/>
      <c r="V13" s="39" t="n"/>
      <c r="W13" s="39" t="n"/>
      <c r="X13" s="39" t="n"/>
      <c r="Y13" s="39" t="n"/>
      <c r="Z13" s="39" t="n"/>
      <c r="AA13" s="39" t="n"/>
      <c r="AB13" s="39" t="n"/>
      <c r="AC13" s="39" t="n"/>
      <c r="AD13" s="39" t="n"/>
      <c r="AE13" s="39" t="n"/>
      <c r="AF13" s="39" t="n"/>
      <c r="AG13" s="39" t="n"/>
      <c r="AH13" s="39" t="n"/>
      <c r="AI13" s="39" t="n"/>
      <c r="AJ13" s="39" t="n"/>
      <c r="AK13" s="39" t="n"/>
      <c r="AL13" s="39" t="n"/>
    </row>
    <row r="14" ht="15" customHeight="1">
      <c r="C14" s="36" t="inlineStr">
        <is>
          <t>SQL上限（ヒント／query）</t>
        </is>
      </c>
      <c r="D14" s="37" t="inlineStr">
        <is>
          <t>20秒</t>
        </is>
      </c>
      <c r="E14" s="38" t="n"/>
      <c r="F14" s="38" t="n"/>
      <c r="G14" s="38" t="n"/>
      <c r="H14" s="38" t="n"/>
      <c r="I14" s="39" t="n"/>
      <c r="J14" s="39" t="n"/>
      <c r="K14" s="39" t="n"/>
      <c r="L14" s="39" t="n"/>
      <c r="M14" s="39" t="n"/>
      <c r="N14" s="39" t="n"/>
      <c r="O14" s="39" t="n"/>
      <c r="P14" s="39" t="n"/>
      <c r="Q14" s="39" t="n"/>
      <c r="R14" s="39" t="n"/>
      <c r="S14" s="39" t="n"/>
      <c r="T14" s="39" t="n"/>
      <c r="U14" s="39" t="n"/>
      <c r="V14" s="39" t="n"/>
      <c r="W14" s="39" t="n"/>
      <c r="X14" s="39" t="n"/>
      <c r="Y14" s="39" t="n"/>
      <c r="Z14" s="39" t="n"/>
      <c r="AA14" s="39" t="n"/>
      <c r="AB14" s="39" t="n"/>
      <c r="AC14" s="39" t="n"/>
      <c r="AD14" s="39" t="n"/>
      <c r="AE14" s="39" t="n"/>
      <c r="AF14" s="39" t="n"/>
      <c r="AG14" s="39" t="n"/>
      <c r="AH14" s="39" t="n"/>
      <c r="AI14" s="39" t="n"/>
      <c r="AJ14" s="39" t="n"/>
      <c r="AK14" s="39" t="n"/>
      <c r="AL14" s="39" t="n"/>
    </row>
    <row r="15" ht="15" customHeight="1">
      <c r="C15" s="36" t="inlineStr">
        <is>
          <t>ロック待ち</t>
        </is>
      </c>
      <c r="D15" s="37" t="inlineStr">
        <is>
          <t>10秒</t>
        </is>
      </c>
      <c r="E15" s="41" t="n"/>
      <c r="F15" s="41" t="n"/>
      <c r="G15" s="39" t="n"/>
      <c r="H15" s="39" t="n"/>
      <c r="I15" s="39" t="n"/>
      <c r="J15" s="39" t="n"/>
      <c r="K15" s="39" t="n"/>
      <c r="L15" s="39" t="n"/>
      <c r="M15" s="39" t="n"/>
      <c r="N15" s="39" t="n"/>
      <c r="O15" s="39" t="n"/>
      <c r="P15" s="39" t="n"/>
      <c r="Q15" s="39" t="n"/>
      <c r="R15" s="39" t="n"/>
      <c r="S15" s="39" t="n"/>
      <c r="T15" s="39" t="n"/>
      <c r="U15" s="39" t="n"/>
      <c r="V15" s="39" t="n"/>
      <c r="W15" s="39" t="n"/>
      <c r="X15" s="39" t="n"/>
      <c r="Y15" s="39" t="n"/>
      <c r="Z15" s="39" t="n"/>
      <c r="AA15" s="39" t="n"/>
      <c r="AB15" s="39" t="n"/>
      <c r="AC15" s="39" t="n"/>
      <c r="AD15" s="39" t="n"/>
      <c r="AE15" s="39" t="n"/>
      <c r="AF15" s="39" t="n"/>
      <c r="AG15" s="39" t="n"/>
      <c r="AH15" s="39" t="n"/>
      <c r="AI15" s="39" t="n"/>
      <c r="AJ15" s="39" t="n"/>
      <c r="AK15" s="39" t="n"/>
      <c r="AL15" s="39" t="n"/>
    </row>
    <row r="16" ht="15" customHeight="1">
      <c r="C16" s="36" t="inlineStr">
        <is>
          <t>Proxy 借用待ち</t>
        </is>
      </c>
      <c r="D16" s="37" t="inlineStr">
        <is>
          <t>10秒</t>
        </is>
      </c>
      <c r="E16" s="41" t="n"/>
      <c r="F16" s="41" t="n"/>
      <c r="G16" s="39" t="n"/>
      <c r="H16" s="39" t="n"/>
      <c r="I16" s="39" t="n"/>
      <c r="J16" s="39" t="n"/>
      <c r="K16" s="39" t="n"/>
      <c r="L16" s="39" t="n"/>
      <c r="M16" s="39" t="n"/>
      <c r="N16" s="39" t="n"/>
      <c r="O16" s="39" t="n"/>
      <c r="P16" s="39" t="n"/>
      <c r="Q16" s="39" t="n"/>
      <c r="R16" s="39" t="n"/>
      <c r="S16" s="39" t="n"/>
      <c r="T16" s="39" t="n"/>
      <c r="U16" s="39" t="n"/>
      <c r="V16" s="39" t="n"/>
      <c r="W16" s="39" t="n"/>
      <c r="X16" s="39" t="n"/>
      <c r="Y16" s="39" t="n"/>
      <c r="Z16" s="39" t="n"/>
      <c r="AA16" s="39" t="n"/>
      <c r="AB16" s="39" t="n"/>
      <c r="AC16" s="39" t="n"/>
      <c r="AD16" s="39" t="n"/>
      <c r="AE16" s="39" t="n"/>
      <c r="AF16" s="39" t="n"/>
      <c r="AG16" s="39" t="n"/>
      <c r="AH16" s="39" t="n"/>
      <c r="AI16" s="39" t="n"/>
      <c r="AJ16" s="39" t="n"/>
      <c r="AK16" s="39" t="n"/>
      <c r="AL16" s="39" t="n"/>
    </row>
    <row r="17" ht="15" customHeight="1">
      <c r="C17" s="36" t="inlineStr">
        <is>
          <t>プール待ち</t>
        </is>
      </c>
      <c r="D17" s="37" t="inlineStr">
        <is>
          <t>3秒</t>
        </is>
      </c>
      <c r="E17" s="41" t="n"/>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c r="AA17" s="39" t="n"/>
      <c r="AB17" s="39" t="n"/>
      <c r="AC17" s="39" t="n"/>
      <c r="AD17" s="39" t="n"/>
      <c r="AE17" s="39" t="n"/>
      <c r="AF17" s="39" t="n"/>
      <c r="AG17" s="39" t="n"/>
      <c r="AH17" s="39" t="n"/>
      <c r="AI17" s="39" t="n"/>
      <c r="AJ17" s="39" t="n"/>
      <c r="AK17" s="39" t="n"/>
      <c r="AL17" s="39" t="n"/>
    </row>
    <row r="18" ht="18" customHeight="1">
      <c r="B18" s="34" t="inlineStr">
        <is>
          <t>Salesforce API</t>
        </is>
      </c>
      <c r="C18" s="35" t="n"/>
      <c r="D18" s="35" t="n"/>
      <c r="E18" s="35" t="n"/>
      <c r="F18" s="35" t="n"/>
      <c r="G18" s="35" t="n"/>
      <c r="H18" s="35"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35" t="n"/>
      <c r="AJ18" s="35" t="n"/>
      <c r="AK18" s="35" t="n"/>
      <c r="AL18" s="35" t="n"/>
    </row>
    <row r="19" ht="15" customHeight="1">
      <c r="C19" s="36" t="inlineStr">
        <is>
          <t>Salesforce setTimeout</t>
        </is>
      </c>
      <c r="D19" s="37" t="inlineStr">
        <is>
          <t>40秒</t>
        </is>
      </c>
      <c r="E19" s="38" t="n"/>
      <c r="F19" s="38" t="n"/>
      <c r="G19" s="38" t="n"/>
      <c r="H19" s="38" t="n"/>
      <c r="I19" s="38" t="n"/>
      <c r="J19" s="38" t="n"/>
      <c r="K19" s="38" t="n"/>
      <c r="L19" s="38" t="n"/>
      <c r="M19" s="39" t="n"/>
      <c r="N19" s="39" t="n"/>
      <c r="O19" s="39" t="n"/>
      <c r="P19" s="39" t="n"/>
      <c r="Q19" s="39" t="n"/>
      <c r="R19" s="39" t="n"/>
      <c r="S19" s="39" t="n"/>
      <c r="T19" s="39" t="n"/>
      <c r="U19" s="39" t="n"/>
      <c r="V19" s="39" t="n"/>
      <c r="W19" s="39" t="n"/>
      <c r="X19" s="39" t="n"/>
      <c r="Y19" s="39" t="n"/>
      <c r="Z19" s="39" t="n"/>
      <c r="AA19" s="39" t="n"/>
      <c r="AB19" s="39" t="n"/>
      <c r="AC19" s="39" t="n"/>
      <c r="AD19" s="39" t="n"/>
      <c r="AE19" s="39" t="n"/>
      <c r="AF19" s="39" t="n"/>
      <c r="AG19" s="39" t="n"/>
      <c r="AH19" s="39" t="n"/>
      <c r="AI19" s="39" t="n"/>
      <c r="AJ19" s="39" t="n"/>
      <c r="AK19" s="39" t="n"/>
      <c r="AL19" s="39" t="n"/>
    </row>
    <row r="20" ht="15" customHeight="1">
      <c r="C20" s="36" t="inlineStr">
        <is>
          <t>API Gateway 統合TO</t>
        </is>
      </c>
      <c r="D20" s="37" t="inlineStr">
        <is>
          <t>29秒</t>
        </is>
      </c>
      <c r="E20" s="38" t="n"/>
      <c r="F20" s="38" t="n"/>
      <c r="G20" s="38" t="n"/>
      <c r="H20" s="38" t="n"/>
      <c r="I20" s="38" t="n"/>
      <c r="J20" s="38" t="n"/>
      <c r="K20" s="39" t="n"/>
      <c r="L20" s="39" t="n"/>
      <c r="M20" s="39" t="n"/>
      <c r="N20" s="39" t="n"/>
      <c r="O20" s="39" t="n"/>
      <c r="P20" s="39" t="n"/>
      <c r="Q20" s="39" t="n"/>
      <c r="R20" s="39" t="n"/>
      <c r="S20" s="39" t="n"/>
      <c r="T20" s="39" t="n"/>
      <c r="U20" s="39" t="n"/>
      <c r="V20" s="39" t="n"/>
      <c r="W20" s="39" t="n"/>
      <c r="X20" s="39" t="n"/>
      <c r="Y20" s="39" t="n"/>
      <c r="Z20" s="39" t="n"/>
      <c r="AA20" s="39" t="n"/>
      <c r="AB20" s="39" t="n"/>
      <c r="AC20" s="39" t="n"/>
      <c r="AD20" s="39" t="n"/>
      <c r="AE20" s="39" t="n"/>
      <c r="AF20" s="39" t="n"/>
      <c r="AG20" s="39" t="n"/>
      <c r="AH20" s="39" t="n"/>
      <c r="AI20" s="39" t="n"/>
      <c r="AJ20" s="39" t="n"/>
      <c r="AK20" s="39" t="n"/>
      <c r="AL20" s="39" t="n"/>
    </row>
    <row r="21" ht="15" customHeight="1">
      <c r="C21" s="36" t="inlineStr">
        <is>
          <t>ALB idle（安全ベルト）</t>
        </is>
      </c>
      <c r="D21" s="37" t="inlineStr">
        <is>
          <t>60秒</t>
        </is>
      </c>
      <c r="E21" s="40" t="n"/>
      <c r="F21" s="40" t="n"/>
      <c r="G21" s="40" t="n"/>
      <c r="H21" s="40" t="n"/>
      <c r="I21" s="40" t="n"/>
      <c r="J21" s="40" t="n"/>
      <c r="K21" s="40" t="n"/>
      <c r="L21" s="40" t="n"/>
      <c r="M21" s="40" t="n"/>
      <c r="N21" s="40" t="n"/>
      <c r="O21" s="40" t="n"/>
      <c r="P21" s="40" t="n"/>
      <c r="Q21" s="39" t="n"/>
      <c r="R21" s="39" t="n"/>
      <c r="S21" s="39" t="n"/>
      <c r="T21" s="39" t="n"/>
      <c r="U21" s="39" t="n"/>
      <c r="V21" s="39" t="n"/>
      <c r="W21" s="39" t="n"/>
      <c r="X21" s="39" t="n"/>
      <c r="Y21" s="39" t="n"/>
      <c r="Z21" s="39" t="n"/>
      <c r="AA21" s="39" t="n"/>
      <c r="AB21" s="39" t="n"/>
      <c r="AC21" s="39" t="n"/>
      <c r="AD21" s="39" t="n"/>
      <c r="AE21" s="39" t="n"/>
      <c r="AF21" s="39" t="n"/>
      <c r="AG21" s="39" t="n"/>
      <c r="AH21" s="39" t="n"/>
      <c r="AI21" s="39" t="n"/>
      <c r="AJ21" s="39" t="n"/>
      <c r="AK21" s="39" t="n"/>
      <c r="AL21" s="39" t="n"/>
    </row>
    <row r="22" ht="15" customHeight="1">
      <c r="C22" s="36" t="inlineStr">
        <is>
          <t>アプリ期限（JTA）</t>
        </is>
      </c>
      <c r="D22" s="37" t="inlineStr">
        <is>
          <t>25秒</t>
        </is>
      </c>
      <c r="E22" s="38" t="n"/>
      <c r="F22" s="38" t="n"/>
      <c r="G22" s="38" t="n"/>
      <c r="H22" s="38" t="n"/>
      <c r="I22" s="38" t="n"/>
      <c r="J22" s="39" t="n"/>
      <c r="K22" s="39" t="n"/>
      <c r="L22" s="39" t="n"/>
      <c r="M22" s="39" t="n"/>
      <c r="N22" s="39" t="n"/>
      <c r="O22" s="39" t="n"/>
      <c r="P22" s="39" t="n"/>
      <c r="Q22" s="39" t="n"/>
      <c r="R22" s="39" t="n"/>
      <c r="S22" s="39" t="n"/>
      <c r="T22" s="39" t="n"/>
      <c r="U22" s="39" t="n"/>
      <c r="V22" s="39" t="n"/>
      <c r="W22" s="39" t="n"/>
      <c r="X22" s="39" t="n"/>
      <c r="Y22" s="39" t="n"/>
      <c r="Z22" s="39" t="n"/>
      <c r="AA22" s="39" t="n"/>
      <c r="AB22" s="39" t="n"/>
      <c r="AC22" s="39" t="n"/>
      <c r="AD22" s="39" t="n"/>
      <c r="AE22" s="39" t="n"/>
      <c r="AF22" s="39" t="n"/>
      <c r="AG22" s="39" t="n"/>
      <c r="AH22" s="39" t="n"/>
      <c r="AI22" s="39" t="n"/>
      <c r="AJ22" s="39" t="n"/>
      <c r="AK22" s="39" t="n"/>
      <c r="AL22" s="39" t="n"/>
    </row>
    <row r="23" ht="15" customHeight="1">
      <c r="C23" s="36" t="inlineStr">
        <is>
          <t>socketTimeout（安全ベルト）</t>
        </is>
      </c>
      <c r="D23" s="37" t="inlineStr">
        <is>
          <t>35秒</t>
        </is>
      </c>
      <c r="E23" s="40" t="n"/>
      <c r="F23" s="40" t="n"/>
      <c r="G23" s="40" t="n"/>
      <c r="H23" s="40" t="n"/>
      <c r="I23" s="40" t="n"/>
      <c r="J23" s="40" t="n"/>
      <c r="K23" s="40" t="n"/>
      <c r="L23" s="39" t="n"/>
      <c r="M23" s="39" t="n"/>
      <c r="N23" s="39" t="n"/>
      <c r="O23" s="39" t="n"/>
      <c r="P23" s="39" t="n"/>
      <c r="Q23" s="39" t="n"/>
      <c r="R23" s="39" t="n"/>
      <c r="S23" s="39" t="n"/>
      <c r="T23" s="39" t="n"/>
      <c r="U23" s="39" t="n"/>
      <c r="V23" s="39" t="n"/>
      <c r="W23" s="39" t="n"/>
      <c r="X23" s="39" t="n"/>
      <c r="Y23" s="39" t="n"/>
      <c r="Z23" s="39" t="n"/>
      <c r="AA23" s="39" t="n"/>
      <c r="AB23" s="39" t="n"/>
      <c r="AC23" s="39" t="n"/>
      <c r="AD23" s="39" t="n"/>
      <c r="AE23" s="39" t="n"/>
      <c r="AF23" s="39" t="n"/>
      <c r="AG23" s="39" t="n"/>
      <c r="AH23" s="39" t="n"/>
      <c r="AI23" s="39" t="n"/>
      <c r="AJ23" s="39" t="n"/>
      <c r="AK23" s="39" t="n"/>
      <c r="AL23" s="39" t="n"/>
    </row>
    <row r="24" ht="15" customHeight="1">
      <c r="C24" s="36" t="inlineStr">
        <is>
          <t>SQL上限</t>
        </is>
      </c>
      <c r="D24" s="37" t="inlineStr">
        <is>
          <t>20秒</t>
        </is>
      </c>
      <c r="E24" s="38" t="n"/>
      <c r="F24" s="38" t="n"/>
      <c r="G24" s="38" t="n"/>
      <c r="H24" s="38" t="n"/>
      <c r="I24" s="39" t="n"/>
      <c r="J24" s="39" t="n"/>
      <c r="K24" s="39" t="n"/>
      <c r="L24" s="39" t="n"/>
      <c r="M24" s="39" t="n"/>
      <c r="N24" s="39" t="n"/>
      <c r="O24" s="39" t="n"/>
      <c r="P24" s="39" t="n"/>
      <c r="Q24" s="39" t="n"/>
      <c r="R24" s="39" t="n"/>
      <c r="S24" s="39" t="n"/>
      <c r="T24" s="39" t="n"/>
      <c r="U24" s="39" t="n"/>
      <c r="V24" s="39" t="n"/>
      <c r="W24" s="39" t="n"/>
      <c r="X24" s="39" t="n"/>
      <c r="Y24" s="39" t="n"/>
      <c r="Z24" s="39" t="n"/>
      <c r="AA24" s="39" t="n"/>
      <c r="AB24" s="39" t="n"/>
      <c r="AC24" s="39" t="n"/>
      <c r="AD24" s="39" t="n"/>
      <c r="AE24" s="39" t="n"/>
      <c r="AF24" s="39" t="n"/>
      <c r="AG24" s="39" t="n"/>
      <c r="AH24" s="39" t="n"/>
      <c r="AI24" s="39" t="n"/>
      <c r="AJ24" s="39" t="n"/>
      <c r="AK24" s="39" t="n"/>
      <c r="AL24" s="39" t="n"/>
    </row>
    <row r="25" ht="15" customHeight="1">
      <c r="C25" s="36" t="inlineStr">
        <is>
          <t>ロック待ち</t>
        </is>
      </c>
      <c r="D25" s="37" t="inlineStr">
        <is>
          <t>10秒</t>
        </is>
      </c>
      <c r="E25" s="41" t="n"/>
      <c r="F25" s="41" t="n"/>
      <c r="G25" s="39" t="n"/>
      <c r="H25" s="39" t="n"/>
      <c r="I25" s="39" t="n"/>
      <c r="J25" s="39" t="n"/>
      <c r="K25" s="39" t="n"/>
      <c r="L25" s="39" t="n"/>
      <c r="M25" s="39" t="n"/>
      <c r="N25" s="39" t="n"/>
      <c r="O25" s="39" t="n"/>
      <c r="P25" s="39" t="n"/>
      <c r="Q25" s="39" t="n"/>
      <c r="R25" s="39" t="n"/>
      <c r="S25" s="39" t="n"/>
      <c r="T25" s="39" t="n"/>
      <c r="U25" s="39" t="n"/>
      <c r="V25" s="39" t="n"/>
      <c r="W25" s="39" t="n"/>
      <c r="X25" s="39" t="n"/>
      <c r="Y25" s="39" t="n"/>
      <c r="Z25" s="39" t="n"/>
      <c r="AA25" s="39" t="n"/>
      <c r="AB25" s="39" t="n"/>
      <c r="AC25" s="39" t="n"/>
      <c r="AD25" s="39" t="n"/>
      <c r="AE25" s="39" t="n"/>
      <c r="AF25" s="39" t="n"/>
      <c r="AG25" s="39" t="n"/>
      <c r="AH25" s="39" t="n"/>
      <c r="AI25" s="39" t="n"/>
      <c r="AJ25" s="39" t="n"/>
      <c r="AK25" s="39" t="n"/>
      <c r="AL25" s="39" t="n"/>
    </row>
    <row r="26" ht="15" customHeight="1">
      <c r="C26" s="36" t="inlineStr">
        <is>
          <t>Proxy 借用待ち</t>
        </is>
      </c>
      <c r="D26" s="37" t="inlineStr">
        <is>
          <t>10秒</t>
        </is>
      </c>
      <c r="E26" s="41" t="n"/>
      <c r="F26" s="41"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c r="AA26" s="39" t="n"/>
      <c r="AB26" s="39" t="n"/>
      <c r="AC26" s="39" t="n"/>
      <c r="AD26" s="39" t="n"/>
      <c r="AE26" s="39" t="n"/>
      <c r="AF26" s="39" t="n"/>
      <c r="AG26" s="39" t="n"/>
      <c r="AH26" s="39" t="n"/>
      <c r="AI26" s="39" t="n"/>
      <c r="AJ26" s="39" t="n"/>
      <c r="AK26" s="39" t="n"/>
      <c r="AL26" s="39" t="n"/>
    </row>
    <row r="27" ht="15" customHeight="1">
      <c r="C27" s="36" t="inlineStr">
        <is>
          <t>プール待ち</t>
        </is>
      </c>
      <c r="D27" s="37" t="inlineStr">
        <is>
          <t>3秒</t>
        </is>
      </c>
      <c r="E27" s="41" t="n"/>
      <c r="F27" s="39" t="n"/>
      <c r="G27" s="39" t="n"/>
      <c r="H27" s="39" t="n"/>
      <c r="I27" s="39" t="n"/>
      <c r="J27" s="39" t="n"/>
      <c r="K27" s="39" t="n"/>
      <c r="L27" s="39" t="n"/>
      <c r="M27" s="39" t="n"/>
      <c r="N27" s="39" t="n"/>
      <c r="O27" s="39" t="n"/>
      <c r="P27" s="39" t="n"/>
      <c r="Q27" s="39" t="n"/>
      <c r="R27" s="39" t="n"/>
      <c r="S27" s="39" t="n"/>
      <c r="T27" s="39" t="n"/>
      <c r="U27" s="39" t="n"/>
      <c r="V27" s="39" t="n"/>
      <c r="W27" s="39" t="n"/>
      <c r="X27" s="39" t="n"/>
      <c r="Y27" s="39" t="n"/>
      <c r="Z27" s="39" t="n"/>
      <c r="AA27" s="39" t="n"/>
      <c r="AB27" s="39" t="n"/>
      <c r="AC27" s="39" t="n"/>
      <c r="AD27" s="39" t="n"/>
      <c r="AE27" s="39" t="n"/>
      <c r="AF27" s="39" t="n"/>
      <c r="AG27" s="39" t="n"/>
      <c r="AH27" s="39" t="n"/>
      <c r="AI27" s="39" t="n"/>
      <c r="AJ27" s="39" t="n"/>
      <c r="AK27" s="39" t="n"/>
      <c r="AL27" s="39" t="n"/>
    </row>
    <row r="28" ht="18" customHeight="1">
      <c r="B28" s="34" t="inlineStr">
        <is>
          <t>イントラAPI（最重）</t>
        </is>
      </c>
      <c r="C28" s="35" t="n"/>
      <c r="D28" s="35" t="n"/>
      <c r="E28" s="35" t="n"/>
      <c r="F28" s="35" t="n"/>
      <c r="G28" s="35" t="n"/>
      <c r="H28" s="35"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5" t="n"/>
      <c r="AD28" s="35" t="n"/>
      <c r="AE28" s="35" t="n"/>
      <c r="AF28" s="35" t="n"/>
      <c r="AG28" s="35" t="n"/>
      <c r="AH28" s="35" t="n"/>
      <c r="AI28" s="35" t="n"/>
      <c r="AJ28" s="35" t="n"/>
      <c r="AK28" s="35" t="n"/>
      <c r="AL28" s="35" t="n"/>
    </row>
    <row r="29" ht="15" customHeight="1">
      <c r="C29" s="36" t="inlineStr">
        <is>
          <t>呼出元</t>
        </is>
      </c>
      <c r="D29" s="37" t="inlineStr">
        <is>
          <t>160秒</t>
        </is>
      </c>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c r="AA29" s="38" t="n"/>
      <c r="AB29" s="38" t="n"/>
      <c r="AC29" s="38" t="n"/>
      <c r="AD29" s="38" t="n"/>
      <c r="AE29" s="38" t="n"/>
      <c r="AF29" s="38" t="n"/>
      <c r="AG29" s="38" t="n"/>
      <c r="AH29" s="38" t="n"/>
      <c r="AI29" s="38" t="n"/>
      <c r="AJ29" s="38" t="n"/>
      <c r="AK29" s="39" t="n"/>
      <c r="AL29" s="39" t="n"/>
    </row>
    <row r="30" ht="15" customHeight="1">
      <c r="C30" s="36" t="inlineStr">
        <is>
          <t>ALB idle</t>
        </is>
      </c>
      <c r="D30" s="37" t="inlineStr">
        <is>
          <t>150秒</t>
        </is>
      </c>
      <c r="E30" s="40"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c r="AD30" s="40" t="n"/>
      <c r="AE30" s="40" t="n"/>
      <c r="AF30" s="40" t="n"/>
      <c r="AG30" s="40" t="n"/>
      <c r="AH30" s="40" t="n"/>
      <c r="AI30" s="39" t="n"/>
      <c r="AJ30" s="39" t="n"/>
      <c r="AK30" s="39" t="n"/>
      <c r="AL30" s="39" t="n"/>
    </row>
    <row r="31" ht="15" customHeight="1">
      <c r="C31" s="36" t="inlineStr">
        <is>
          <t>socketTimeout（安全ベルト）</t>
        </is>
      </c>
      <c r="D31" s="37" t="inlineStr">
        <is>
          <t>130秒</t>
        </is>
      </c>
      <c r="E31" s="40" t="n"/>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c r="AA31" s="40" t="n"/>
      <c r="AB31" s="40" t="n"/>
      <c r="AC31" s="40" t="n"/>
      <c r="AD31" s="40" t="n"/>
      <c r="AE31" s="39" t="n"/>
      <c r="AF31" s="39" t="n"/>
      <c r="AG31" s="39" t="n"/>
      <c r="AH31" s="39" t="n"/>
      <c r="AI31" s="39" t="n"/>
      <c r="AJ31" s="39" t="n"/>
      <c r="AK31" s="39" t="n"/>
      <c r="AL31" s="39" t="n"/>
    </row>
    <row r="32" ht="15" customHeight="1">
      <c r="C32" s="36" t="inlineStr">
        <is>
          <t>アプリ期限（JTA）</t>
        </is>
      </c>
      <c r="D32" s="37" t="inlineStr">
        <is>
          <t>120秒</t>
        </is>
      </c>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9" t="n"/>
      <c r="AD32" s="39" t="n"/>
      <c r="AE32" s="39" t="n"/>
      <c r="AF32" s="39" t="n"/>
      <c r="AG32" s="39" t="n"/>
      <c r="AH32" s="39" t="n"/>
      <c r="AI32" s="39" t="n"/>
      <c r="AJ32" s="39" t="n"/>
      <c r="AK32" s="39" t="n"/>
      <c r="AL32" s="39" t="n"/>
    </row>
    <row r="33" ht="15" customHeight="1">
      <c r="C33" s="36" t="inlineStr">
        <is>
          <t>SQL上限</t>
        </is>
      </c>
      <c r="D33" s="37" t="inlineStr">
        <is>
          <t>115秒</t>
        </is>
      </c>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c r="AA33" s="38" t="n"/>
      <c r="AB33" s="39" t="n"/>
      <c r="AC33" s="39" t="n"/>
      <c r="AD33" s="39" t="n"/>
      <c r="AE33" s="39" t="n"/>
      <c r="AF33" s="39" t="n"/>
      <c r="AG33" s="39" t="n"/>
      <c r="AH33" s="39" t="n"/>
      <c r="AI33" s="39" t="n"/>
      <c r="AJ33" s="39" t="n"/>
      <c r="AK33" s="39" t="n"/>
      <c r="AL33" s="39" t="n"/>
    </row>
    <row r="34" ht="15" customHeight="1">
      <c r="C34" s="36" t="inlineStr">
        <is>
          <t>ロック待ち</t>
        </is>
      </c>
      <c r="D34" s="37" t="inlineStr">
        <is>
          <t>10秒</t>
        </is>
      </c>
      <c r="E34" s="41" t="n"/>
      <c r="F34" s="41" t="n"/>
      <c r="G34" s="39" t="n"/>
      <c r="H34" s="39" t="n"/>
      <c r="I34" s="39" t="n"/>
      <c r="J34" s="39" t="n"/>
      <c r="K34" s="39" t="n"/>
      <c r="L34" s="39" t="n"/>
      <c r="M34" s="39" t="n"/>
      <c r="N34" s="39" t="n"/>
      <c r="O34" s="39" t="n"/>
      <c r="P34" s="39" t="n"/>
      <c r="Q34" s="39" t="n"/>
      <c r="R34" s="39" t="n"/>
      <c r="S34" s="39" t="n"/>
      <c r="T34" s="39" t="n"/>
      <c r="U34" s="39" t="n"/>
      <c r="V34" s="39" t="n"/>
      <c r="W34" s="39" t="n"/>
      <c r="X34" s="39" t="n"/>
      <c r="Y34" s="39" t="n"/>
      <c r="Z34" s="39" t="n"/>
      <c r="AA34" s="39" t="n"/>
      <c r="AB34" s="39" t="n"/>
      <c r="AC34" s="39" t="n"/>
      <c r="AD34" s="39" t="n"/>
      <c r="AE34" s="39" t="n"/>
      <c r="AF34" s="39" t="n"/>
      <c r="AG34" s="39" t="n"/>
      <c r="AH34" s="39" t="n"/>
      <c r="AI34" s="39" t="n"/>
      <c r="AJ34" s="39" t="n"/>
      <c r="AK34" s="39" t="n"/>
      <c r="AL34" s="39" t="n"/>
    </row>
    <row r="35" ht="15" customHeight="1">
      <c r="C35" s="36" t="inlineStr">
        <is>
          <t>Proxy 借用待ち</t>
        </is>
      </c>
      <c r="D35" s="37" t="inlineStr">
        <is>
          <t>10秒</t>
        </is>
      </c>
      <c r="E35" s="41" t="n"/>
      <c r="F35" s="41" t="n"/>
      <c r="G35" s="39" t="n"/>
      <c r="H35" s="39" t="n"/>
      <c r="I35" s="39" t="n"/>
      <c r="J35" s="39" t="n"/>
      <c r="K35" s="39" t="n"/>
      <c r="L35" s="39" t="n"/>
      <c r="M35" s="39" t="n"/>
      <c r="N35" s="39" t="n"/>
      <c r="O35" s="39" t="n"/>
      <c r="P35" s="39" t="n"/>
      <c r="Q35" s="39" t="n"/>
      <c r="R35" s="39" t="n"/>
      <c r="S35" s="39" t="n"/>
      <c r="T35" s="39" t="n"/>
      <c r="U35" s="39" t="n"/>
      <c r="V35" s="39" t="n"/>
      <c r="W35" s="39" t="n"/>
      <c r="X35" s="39" t="n"/>
      <c r="Y35" s="39" t="n"/>
      <c r="Z35" s="39" t="n"/>
      <c r="AA35" s="39" t="n"/>
      <c r="AB35" s="39" t="n"/>
      <c r="AC35" s="39" t="n"/>
      <c r="AD35" s="39" t="n"/>
      <c r="AE35" s="39" t="n"/>
      <c r="AF35" s="39" t="n"/>
      <c r="AG35" s="39" t="n"/>
      <c r="AH35" s="39" t="n"/>
      <c r="AI35" s="39" t="n"/>
      <c r="AJ35" s="39" t="n"/>
      <c r="AK35" s="39" t="n"/>
      <c r="AL35" s="39" t="n"/>
    </row>
    <row r="36" ht="15" customHeight="1">
      <c r="C36" s="36" t="inlineStr">
        <is>
          <t>プール待ち</t>
        </is>
      </c>
      <c r="D36" s="37" t="inlineStr">
        <is>
          <t>10秒</t>
        </is>
      </c>
      <c r="E36" s="41" t="n"/>
      <c r="F36" s="41" t="n"/>
      <c r="G36" s="39" t="n"/>
      <c r="H36" s="39" t="n"/>
      <c r="I36" s="39" t="n"/>
      <c r="J36" s="39" t="n"/>
      <c r="K36" s="39" t="n"/>
      <c r="L36" s="39" t="n"/>
      <c r="M36" s="39" t="n"/>
      <c r="N36" s="39" t="n"/>
      <c r="O36" s="39" t="n"/>
      <c r="P36" s="39" t="n"/>
      <c r="Q36" s="39" t="n"/>
      <c r="R36" s="39" t="n"/>
      <c r="S36" s="39" t="n"/>
      <c r="T36" s="39" t="n"/>
      <c r="U36" s="39" t="n"/>
      <c r="V36" s="39" t="n"/>
      <c r="W36" s="39" t="n"/>
      <c r="X36" s="39" t="n"/>
      <c r="Y36" s="39" t="n"/>
      <c r="Z36" s="39" t="n"/>
      <c r="AA36" s="39" t="n"/>
      <c r="AB36" s="39" t="n"/>
      <c r="AC36" s="39" t="n"/>
      <c r="AD36" s="39" t="n"/>
      <c r="AE36" s="39" t="n"/>
      <c r="AF36" s="39" t="n"/>
      <c r="AG36" s="39" t="n"/>
      <c r="AH36" s="39" t="n"/>
      <c r="AI36" s="39" t="n"/>
      <c r="AJ36" s="39" t="n"/>
      <c r="AK36" s="39" t="n"/>
      <c r="AL36" s="39" t="n"/>
    </row>
    <row r="37" ht="18" customHeight="1">
      <c r="B37" s="34" t="inlineStr">
        <is>
          <t>イントラ画面</t>
        </is>
      </c>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c r="AG37" s="35" t="n"/>
      <c r="AH37" s="35" t="n"/>
      <c r="AI37" s="35" t="n"/>
      <c r="AJ37" s="35" t="n"/>
      <c r="AK37" s="35" t="n"/>
      <c r="AL37" s="35" t="n"/>
    </row>
    <row r="38" ht="15" customHeight="1">
      <c r="C38" s="36" t="inlineStr">
        <is>
          <t>ブラウザ（JS）</t>
        </is>
      </c>
      <c r="D38" s="37" t="inlineStr">
        <is>
          <t>40秒</t>
        </is>
      </c>
      <c r="E38" s="38" t="n"/>
      <c r="F38" s="38" t="n"/>
      <c r="G38" s="38" t="n"/>
      <c r="H38" s="38" t="n"/>
      <c r="I38" s="38" t="n"/>
      <c r="J38" s="38" t="n"/>
      <c r="K38" s="38" t="n"/>
      <c r="L38" s="38" t="n"/>
      <c r="M38" s="39" t="n"/>
      <c r="N38" s="39" t="n"/>
      <c r="O38" s="39" t="n"/>
      <c r="P38" s="39" t="n"/>
      <c r="Q38" s="39" t="n"/>
      <c r="R38" s="39" t="n"/>
      <c r="S38" s="39" t="n"/>
      <c r="T38" s="39" t="n"/>
      <c r="U38" s="39" t="n"/>
      <c r="V38" s="39" t="n"/>
      <c r="W38" s="39" t="n"/>
      <c r="X38" s="39" t="n"/>
      <c r="Y38" s="39" t="n"/>
      <c r="Z38" s="39" t="n"/>
      <c r="AA38" s="39" t="n"/>
      <c r="AB38" s="39" t="n"/>
      <c r="AC38" s="39" t="n"/>
      <c r="AD38" s="39" t="n"/>
      <c r="AE38" s="39" t="n"/>
      <c r="AF38" s="39" t="n"/>
      <c r="AG38" s="39" t="n"/>
      <c r="AH38" s="39" t="n"/>
      <c r="AI38" s="39" t="n"/>
      <c r="AJ38" s="39" t="n"/>
      <c r="AK38" s="39" t="n"/>
      <c r="AL38" s="39" t="n"/>
    </row>
    <row r="39" ht="15" customHeight="1">
      <c r="C39" s="36" t="inlineStr">
        <is>
          <t>ALB idle（ALB-2共有）</t>
        </is>
      </c>
      <c r="D39" s="37" t="inlineStr">
        <is>
          <t>150秒</t>
        </is>
      </c>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39" t="n"/>
      <c r="AJ39" s="39" t="n"/>
      <c r="AK39" s="39" t="n"/>
      <c r="AL39" s="39" t="n"/>
    </row>
    <row r="40" ht="15" customHeight="1">
      <c r="C40" s="36" t="inlineStr">
        <is>
          <t>socketTimeout（安全ベルト）</t>
        </is>
      </c>
      <c r="D40" s="37" t="inlineStr">
        <is>
          <t>40秒</t>
        </is>
      </c>
      <c r="E40" s="40" t="n"/>
      <c r="F40" s="40" t="n"/>
      <c r="G40" s="40" t="n"/>
      <c r="H40" s="40" t="n"/>
      <c r="I40" s="40" t="n"/>
      <c r="J40" s="40" t="n"/>
      <c r="K40" s="40" t="n"/>
      <c r="L40" s="40" t="n"/>
      <c r="M40" s="39" t="n"/>
      <c r="N40" s="39" t="n"/>
      <c r="O40" s="39" t="n"/>
      <c r="P40" s="39" t="n"/>
      <c r="Q40" s="39" t="n"/>
      <c r="R40" s="39" t="n"/>
      <c r="S40" s="39" t="n"/>
      <c r="T40" s="39" t="n"/>
      <c r="U40" s="39" t="n"/>
      <c r="V40" s="39" t="n"/>
      <c r="W40" s="39" t="n"/>
      <c r="X40" s="39" t="n"/>
      <c r="Y40" s="39" t="n"/>
      <c r="Z40" s="39" t="n"/>
      <c r="AA40" s="39" t="n"/>
      <c r="AB40" s="39" t="n"/>
      <c r="AC40" s="39" t="n"/>
      <c r="AD40" s="39" t="n"/>
      <c r="AE40" s="39" t="n"/>
      <c r="AF40" s="39" t="n"/>
      <c r="AG40" s="39" t="n"/>
      <c r="AH40" s="39" t="n"/>
      <c r="AI40" s="39" t="n"/>
      <c r="AJ40" s="39" t="n"/>
      <c r="AK40" s="39" t="n"/>
      <c r="AL40" s="39" t="n"/>
    </row>
    <row r="41" ht="15" customHeight="1">
      <c r="C41" s="36" t="inlineStr">
        <is>
          <t>アプリ期限（JTA）</t>
        </is>
      </c>
      <c r="D41" s="37" t="inlineStr">
        <is>
          <t>30秒</t>
        </is>
      </c>
      <c r="E41" s="38" t="n"/>
      <c r="F41" s="38" t="n"/>
      <c r="G41" s="38" t="n"/>
      <c r="H41" s="38" t="n"/>
      <c r="I41" s="38" t="n"/>
      <c r="J41" s="38" t="n"/>
      <c r="K41" s="39" t="n"/>
      <c r="L41" s="39" t="n"/>
      <c r="M41" s="39" t="n"/>
      <c r="N41" s="39" t="n"/>
      <c r="O41" s="39" t="n"/>
      <c r="P41" s="39" t="n"/>
      <c r="Q41" s="39" t="n"/>
      <c r="R41" s="39" t="n"/>
      <c r="S41" s="39" t="n"/>
      <c r="T41" s="39" t="n"/>
      <c r="U41" s="39" t="n"/>
      <c r="V41" s="39" t="n"/>
      <c r="W41" s="39" t="n"/>
      <c r="X41" s="39" t="n"/>
      <c r="Y41" s="39" t="n"/>
      <c r="Z41" s="39" t="n"/>
      <c r="AA41" s="39" t="n"/>
      <c r="AB41" s="39" t="n"/>
      <c r="AC41" s="39" t="n"/>
      <c r="AD41" s="39" t="n"/>
      <c r="AE41" s="39" t="n"/>
      <c r="AF41" s="39" t="n"/>
      <c r="AG41" s="39" t="n"/>
      <c r="AH41" s="39" t="n"/>
      <c r="AI41" s="39" t="n"/>
      <c r="AJ41" s="39" t="n"/>
      <c r="AK41" s="39" t="n"/>
      <c r="AL41" s="39" t="n"/>
    </row>
    <row r="42" ht="15" customHeight="1">
      <c r="C42" s="36" t="inlineStr">
        <is>
          <t>SQL上限</t>
        </is>
      </c>
      <c r="D42" s="37" t="inlineStr">
        <is>
          <t>25秒</t>
        </is>
      </c>
      <c r="E42" s="38" t="n"/>
      <c r="F42" s="38" t="n"/>
      <c r="G42" s="38" t="n"/>
      <c r="H42" s="38" t="n"/>
      <c r="I42" s="38"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c r="AD42" s="39" t="n"/>
      <c r="AE42" s="39" t="n"/>
      <c r="AF42" s="39" t="n"/>
      <c r="AG42" s="39" t="n"/>
      <c r="AH42" s="39" t="n"/>
      <c r="AI42" s="39" t="n"/>
      <c r="AJ42" s="39" t="n"/>
      <c r="AK42" s="39" t="n"/>
      <c r="AL42" s="39" t="n"/>
    </row>
    <row r="43" ht="15" customHeight="1">
      <c r="C43" s="36" t="inlineStr">
        <is>
          <t>ロック待ち</t>
        </is>
      </c>
      <c r="D43" s="37" t="inlineStr">
        <is>
          <t>10秒</t>
        </is>
      </c>
      <c r="E43" s="41" t="n"/>
      <c r="F43" s="41" t="n"/>
      <c r="G43" s="39" t="n"/>
      <c r="H43" s="39" t="n"/>
      <c r="I43" s="39" t="n"/>
      <c r="J43" s="39" t="n"/>
      <c r="K43" s="39" t="n"/>
      <c r="L43" s="39" t="n"/>
      <c r="M43" s="39" t="n"/>
      <c r="N43" s="39" t="n"/>
      <c r="O43" s="39" t="n"/>
      <c r="P43" s="39" t="n"/>
      <c r="Q43" s="39" t="n"/>
      <c r="R43" s="39" t="n"/>
      <c r="S43" s="39" t="n"/>
      <c r="T43" s="39" t="n"/>
      <c r="U43" s="39" t="n"/>
      <c r="V43" s="39" t="n"/>
      <c r="W43" s="39" t="n"/>
      <c r="X43" s="39" t="n"/>
      <c r="Y43" s="39" t="n"/>
      <c r="Z43" s="39" t="n"/>
      <c r="AA43" s="39" t="n"/>
      <c r="AB43" s="39" t="n"/>
      <c r="AC43" s="39" t="n"/>
      <c r="AD43" s="39" t="n"/>
      <c r="AE43" s="39" t="n"/>
      <c r="AF43" s="39" t="n"/>
      <c r="AG43" s="39" t="n"/>
      <c r="AH43" s="39" t="n"/>
      <c r="AI43" s="39" t="n"/>
      <c r="AJ43" s="39" t="n"/>
      <c r="AK43" s="39" t="n"/>
      <c r="AL43" s="39" t="n"/>
    </row>
    <row r="44" ht="15" customHeight="1">
      <c r="C44" s="36" t="inlineStr">
        <is>
          <t>Proxy 借用待ち</t>
        </is>
      </c>
      <c r="D44" s="37" t="inlineStr">
        <is>
          <t>10秒</t>
        </is>
      </c>
      <c r="E44" s="41" t="n"/>
      <c r="F44" s="41" t="n"/>
      <c r="G44" s="39" t="n"/>
      <c r="H44" s="39" t="n"/>
      <c r="I44" s="39" t="n"/>
      <c r="J44" s="39" t="n"/>
      <c r="K44" s="39" t="n"/>
      <c r="L44" s="39" t="n"/>
      <c r="M44" s="39" t="n"/>
      <c r="N44" s="39" t="n"/>
      <c r="O44" s="39" t="n"/>
      <c r="P44" s="39" t="n"/>
      <c r="Q44" s="39" t="n"/>
      <c r="R44" s="39" t="n"/>
      <c r="S44" s="39" t="n"/>
      <c r="T44" s="39" t="n"/>
      <c r="U44" s="39" t="n"/>
      <c r="V44" s="39" t="n"/>
      <c r="W44" s="39" t="n"/>
      <c r="X44" s="39" t="n"/>
      <c r="Y44" s="39" t="n"/>
      <c r="Z44" s="39" t="n"/>
      <c r="AA44" s="39" t="n"/>
      <c r="AB44" s="39" t="n"/>
      <c r="AC44" s="39" t="n"/>
      <c r="AD44" s="39" t="n"/>
      <c r="AE44" s="39" t="n"/>
      <c r="AF44" s="39" t="n"/>
      <c r="AG44" s="39" t="n"/>
      <c r="AH44" s="39" t="n"/>
      <c r="AI44" s="39" t="n"/>
      <c r="AJ44" s="39" t="n"/>
      <c r="AK44" s="39" t="n"/>
      <c r="AL44" s="39" t="n"/>
    </row>
    <row r="45" ht="15" customHeight="1">
      <c r="C45" s="36" t="inlineStr">
        <is>
          <t>プール待ち</t>
        </is>
      </c>
      <c r="D45" s="37" t="inlineStr">
        <is>
          <t>4秒</t>
        </is>
      </c>
      <c r="E45" s="41" t="n"/>
      <c r="F45" s="39" t="n"/>
      <c r="G45" s="39" t="n"/>
      <c r="H45" s="39" t="n"/>
      <c r="I45" s="39" t="n"/>
      <c r="J45" s="39" t="n"/>
      <c r="K45" s="39" t="n"/>
      <c r="L45" s="39" t="n"/>
      <c r="M45" s="39" t="n"/>
      <c r="N45" s="39" t="n"/>
      <c r="O45" s="39" t="n"/>
      <c r="P45" s="39" t="n"/>
      <c r="Q45" s="39" t="n"/>
      <c r="R45" s="39" t="n"/>
      <c r="S45" s="39" t="n"/>
      <c r="T45" s="39" t="n"/>
      <c r="U45" s="39" t="n"/>
      <c r="V45" s="39" t="n"/>
      <c r="W45" s="39" t="n"/>
      <c r="X45" s="39" t="n"/>
      <c r="Y45" s="39" t="n"/>
      <c r="Z45" s="39" t="n"/>
      <c r="AA45" s="39" t="n"/>
      <c r="AB45" s="39" t="n"/>
      <c r="AC45" s="39" t="n"/>
      <c r="AD45" s="39" t="n"/>
      <c r="AE45" s="39" t="n"/>
      <c r="AF45" s="39" t="n"/>
      <c r="AG45" s="39" t="n"/>
      <c r="AH45" s="39" t="n"/>
      <c r="AI45" s="39" t="n"/>
      <c r="AJ45" s="39" t="n"/>
      <c r="AK45" s="39" t="n"/>
      <c r="AL45" s="39" t="n"/>
    </row>
    <row r="46" ht="6" customHeight="1"/>
    <row r="47" ht="16" customHeight="1">
      <c r="C47" s="37" t="inlineStr">
        <is>
          <t>凡例</t>
        </is>
      </c>
      <c r="E47" s="42" t="n"/>
      <c r="F47" s="43" t="inlineStr">
        <is>
          <t>応答の期限（外側ほど長い）</t>
        </is>
      </c>
      <c r="N47" s="44" t="n"/>
      <c r="O47" s="43" t="inlineStr">
        <is>
          <t>安全ベルト（ふだん鳴らない）</t>
        </is>
      </c>
      <c r="W47" s="45" t="n"/>
      <c r="X47" s="43" t="inlineStr">
        <is>
          <t>順番待ち（期限の中に収まる）</t>
        </is>
      </c>
    </row>
    <row r="48" ht="6" customHeight="1"/>
    <row r="49" ht="21" customHeight="1">
      <c r="B49" s="30" t="inlineStr">
        <is>
          <t>バッチ経路（P2・分）　（1マス＝5分）</t>
        </is>
      </c>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c r="AD49" s="31" t="n"/>
      <c r="AE49" s="31" t="n"/>
      <c r="AF49" s="31" t="n"/>
      <c r="AG49" s="31" t="n"/>
      <c r="AH49" s="31" t="n"/>
      <c r="AI49" s="31" t="n"/>
      <c r="AJ49" s="31" t="n"/>
      <c r="AK49" s="31" t="n"/>
      <c r="AL49" s="31" t="n"/>
      <c r="AM49" s="31" t="n"/>
    </row>
    <row r="50" ht="16" customHeight="1">
      <c r="B50" s="32" t="inlineStr">
        <is>
          <t>経路</t>
        </is>
      </c>
      <c r="C50" s="32" t="inlineStr">
        <is>
          <t>タイマー</t>
        </is>
      </c>
      <c r="D50" s="32" t="inlineStr">
        <is>
          <t>値</t>
        </is>
      </c>
      <c r="E50" s="33" t="n"/>
      <c r="F50" s="33" t="inlineStr">
        <is>
          <t>10</t>
        </is>
      </c>
      <c r="G50" s="33" t="n"/>
      <c r="H50" s="33" t="inlineStr">
        <is>
          <t>20</t>
        </is>
      </c>
      <c r="I50" s="33" t="n"/>
      <c r="J50" s="33" t="inlineStr">
        <is>
          <t>30</t>
        </is>
      </c>
      <c r="K50" s="33" t="n"/>
      <c r="L50" s="33" t="inlineStr">
        <is>
          <t>40</t>
        </is>
      </c>
      <c r="M50" s="33" t="n"/>
      <c r="N50" s="33" t="inlineStr">
        <is>
          <t>50</t>
        </is>
      </c>
      <c r="O50" s="33" t="n"/>
      <c r="P50" s="33" t="inlineStr">
        <is>
          <t>60</t>
        </is>
      </c>
      <c r="Q50" s="33" t="n"/>
      <c r="R50" s="33" t="inlineStr">
        <is>
          <t>70</t>
        </is>
      </c>
      <c r="S50" s="33" t="n"/>
      <c r="T50" s="33" t="inlineStr">
        <is>
          <t>80</t>
        </is>
      </c>
      <c r="U50" s="33" t="n"/>
      <c r="V50" s="33" t="inlineStr">
        <is>
          <t>90</t>
        </is>
      </c>
      <c r="W50" s="33" t="n"/>
      <c r="X50" s="33" t="inlineStr">
        <is>
          <t>100</t>
        </is>
      </c>
      <c r="Y50" s="33" t="n"/>
      <c r="Z50" s="33" t="inlineStr">
        <is>
          <t>110</t>
        </is>
      </c>
      <c r="AA50" s="33" t="n"/>
      <c r="AB50" s="33" t="inlineStr">
        <is>
          <t>120</t>
        </is>
      </c>
      <c r="AC50" s="33" t="n"/>
      <c r="AD50" s="33" t="inlineStr">
        <is>
          <t>130</t>
        </is>
      </c>
    </row>
    <row r="51" ht="18" customHeight="1">
      <c r="B51" s="34" t="inlineStr">
        <is>
          <t>バッチ</t>
        </is>
      </c>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row>
    <row r="52" ht="15" customHeight="1">
      <c r="C52" s="36" t="inlineStr">
        <is>
          <t>Proxy IdleClientTimeout（ステップ間の無通信）</t>
        </is>
      </c>
      <c r="D52" s="37" t="inlineStr">
        <is>
          <t>120分</t>
        </is>
      </c>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c r="AA52" s="46" t="n"/>
      <c r="AB52" s="46" t="n"/>
      <c r="AC52" s="39" t="n"/>
      <c r="AD52" s="39" t="n"/>
    </row>
    <row r="53" ht="15" customHeight="1">
      <c r="C53" s="36" t="inlineStr">
        <is>
          <t>socketTimeout（安全ベルト）</t>
        </is>
      </c>
      <c r="D53" s="37" t="inlineStr">
        <is>
          <t>30分</t>
        </is>
      </c>
      <c r="E53" s="40" t="n"/>
      <c r="F53" s="40" t="n"/>
      <c r="G53" s="40" t="n"/>
      <c r="H53" s="40" t="n"/>
      <c r="I53" s="40" t="n"/>
      <c r="J53" s="40" t="n"/>
      <c r="K53" s="39" t="n"/>
      <c r="L53" s="39" t="n"/>
      <c r="M53" s="39" t="n"/>
      <c r="N53" s="39" t="n"/>
      <c r="O53" s="39" t="n"/>
      <c r="P53" s="39" t="n"/>
      <c r="Q53" s="39" t="n"/>
      <c r="R53" s="39" t="n"/>
      <c r="S53" s="39" t="n"/>
      <c r="T53" s="39" t="n"/>
      <c r="U53" s="39" t="n"/>
      <c r="V53" s="39" t="n"/>
      <c r="W53" s="39" t="n"/>
      <c r="X53" s="39" t="n"/>
      <c r="Y53" s="39" t="n"/>
      <c r="Z53" s="39" t="n"/>
      <c r="AA53" s="39" t="n"/>
      <c r="AB53" s="39" t="n"/>
      <c r="AC53" s="39" t="n"/>
      <c r="AD53" s="39" t="n"/>
    </row>
    <row r="54" ht="15" customHeight="1">
      <c r="C54" s="36" t="inlineStr">
        <is>
          <t>SQL 1本の上限（query timeout）</t>
        </is>
      </c>
      <c r="D54" s="37" t="inlineStr">
        <is>
          <t>15分</t>
        </is>
      </c>
      <c r="E54" s="38" t="n"/>
      <c r="F54" s="38" t="n"/>
      <c r="G54" s="38" t="n"/>
      <c r="H54" s="39" t="n"/>
      <c r="I54" s="39" t="n"/>
      <c r="J54" s="39" t="n"/>
      <c r="K54" s="39" t="n"/>
      <c r="L54" s="39" t="n"/>
      <c r="M54" s="39" t="n"/>
      <c r="N54" s="39" t="n"/>
      <c r="O54" s="39" t="n"/>
      <c r="P54" s="39" t="n"/>
      <c r="Q54" s="39" t="n"/>
      <c r="R54" s="39" t="n"/>
      <c r="S54" s="39" t="n"/>
      <c r="T54" s="39" t="n"/>
      <c r="U54" s="39" t="n"/>
      <c r="V54" s="39" t="n"/>
      <c r="W54" s="39" t="n"/>
      <c r="X54" s="39" t="n"/>
      <c r="Y54" s="39" t="n"/>
      <c r="Z54" s="39" t="n"/>
      <c r="AA54" s="39" t="n"/>
      <c r="AB54" s="39" t="n"/>
      <c r="AC54" s="39" t="n"/>
      <c r="AD54" s="39" t="n"/>
    </row>
    <row r="55" ht="15" customHeight="1">
      <c r="C55" s="36" t="inlineStr">
        <is>
          <t>チャンクのトランザクション期限</t>
        </is>
      </c>
      <c r="D55" s="37" t="inlineStr">
        <is>
          <t>5分</t>
        </is>
      </c>
      <c r="E55" s="38" t="n"/>
      <c r="F55" s="39" t="n"/>
      <c r="G55" s="39" t="n"/>
      <c r="H55" s="39" t="n"/>
      <c r="I55" s="39" t="n"/>
      <c r="J55" s="39" t="n"/>
      <c r="K55" s="39" t="n"/>
      <c r="L55" s="39" t="n"/>
      <c r="M55" s="39" t="n"/>
      <c r="N55" s="39" t="n"/>
      <c r="O55" s="39" t="n"/>
      <c r="P55" s="39" t="n"/>
      <c r="Q55" s="39" t="n"/>
      <c r="R55" s="39" t="n"/>
      <c r="S55" s="39" t="n"/>
      <c r="T55" s="39" t="n"/>
      <c r="U55" s="39" t="n"/>
      <c r="V55" s="39" t="n"/>
      <c r="W55" s="39" t="n"/>
      <c r="X55" s="39" t="n"/>
      <c r="Y55" s="39" t="n"/>
      <c r="Z55" s="39" t="n"/>
      <c r="AA55" s="39" t="n"/>
      <c r="AB55" s="39" t="n"/>
      <c r="AC55" s="39" t="n"/>
      <c r="AD55" s="39" t="n"/>
    </row>
    <row r="56" ht="15" customHeight="1">
      <c r="C56" s="36" t="inlineStr">
        <is>
          <t>ロック待ち（120秒）</t>
        </is>
      </c>
      <c r="D56" s="37" t="inlineStr">
        <is>
          <t>2分</t>
        </is>
      </c>
      <c r="E56" s="41" t="n"/>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39" t="n"/>
    </row>
    <row r="57" ht="15" customHeight="1">
      <c r="C57" s="36" t="inlineStr">
        <is>
          <t>Proxy 借用待ち（120秒）</t>
        </is>
      </c>
      <c r="D57" s="37" t="inlineStr">
        <is>
          <t>2分</t>
        </is>
      </c>
      <c r="E57" s="41"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n"/>
      <c r="AC57" s="39" t="n"/>
      <c r="AD57" s="39" t="n"/>
    </row>
    <row r="58" ht="6" customHeight="1"/>
    <row r="59" ht="16" customHeight="1">
      <c r="C59" s="37" t="inlineStr">
        <is>
          <t>凡例</t>
        </is>
      </c>
      <c r="E59" s="42" t="n"/>
      <c r="F59" s="43" t="inlineStr">
        <is>
          <t>応答の期限（外側ほど長い）</t>
        </is>
      </c>
      <c r="N59" s="44" t="n"/>
      <c r="O59" s="43" t="inlineStr">
        <is>
          <t>安全ベルト（ふだん鳴らない）</t>
        </is>
      </c>
      <c r="W59" s="45" t="n"/>
      <c r="X59" s="43" t="inlineStr">
        <is>
          <t>順番待ち（期限の中に収まる）</t>
        </is>
      </c>
      <c r="AF59" s="47" t="n"/>
      <c r="AG59" s="43" t="inlineStr">
        <is>
          <t>アイドル（無通信）</t>
        </is>
      </c>
    </row>
    <row r="60" ht="10" customHeight="1"/>
    <row r="61" ht="24" customHeight="1">
      <c r="B61" s="5" t="inlineStr">
        <is>
          <t xml:space="preserve">　時系列①：インターネットAPIで、バッチが行ロックを持っていた場合</t>
        </is>
      </c>
    </row>
    <row r="62" ht="4" customHeight="1"/>
    <row r="63" ht="23" customHeight="1">
      <c r="B63" s="6" t="inlineStr">
        <is>
          <t>時刻</t>
        </is>
      </c>
      <c r="C63" s="6" t="inlineStr">
        <is>
          <t>P2（推奨）で起きること</t>
        </is>
      </c>
      <c r="D63" s="6" t="inlineStr">
        <is>
          <t>P0（既定値）で起きること</t>
        </is>
      </c>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c r="AK63" s="7" t="n"/>
      <c r="AL63" s="7" t="n"/>
      <c r="AM63" s="8" t="n"/>
    </row>
    <row r="64" ht="37" customHeight="1">
      <c r="B64" s="13" t="inlineStr">
        <is>
          <t>0.00秒</t>
        </is>
      </c>
      <c r="C64" s="9" t="inlineStr">
        <is>
          <t>クライアント送信。API Gateway の29秒の時計が動き出す</t>
        </is>
      </c>
      <c r="D64" s="9" t="inlineStr">
        <is>
          <t>同じ</t>
        </is>
      </c>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1" t="n"/>
    </row>
    <row r="65" ht="37" customHeight="1">
      <c r="B65" s="14" t="inlineStr">
        <is>
          <t>0.01秒</t>
        </is>
      </c>
      <c r="C65" s="12" t="inlineStr">
        <is>
          <t>VPC Link v2 → ALB-1 → JBoss。JTA の25秒の時計が動き出す</t>
        </is>
      </c>
      <c r="D65" s="12" t="inlineStr">
        <is>
          <t>JTA の300秒の時計が動き出す</t>
        </is>
      </c>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1" t="n"/>
    </row>
    <row r="66" ht="37" customHeight="1">
      <c r="B66" s="13" t="inlineStr">
        <is>
          <t>0.02秒</t>
        </is>
      </c>
      <c r="C66" s="9" t="inlineStr">
        <is>
          <t>プールから接続（最大3秒待ち）、Proxy が DB接続を借用（最大10秒待ち）</t>
        </is>
      </c>
      <c r="D66" s="9" t="inlineStr">
        <is>
          <t>最大30秒・120秒まで待つ</t>
        </is>
      </c>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1" t="n"/>
    </row>
    <row r="67" ht="37" customHeight="1">
      <c r="B67" s="14" t="inlineStr">
        <is>
          <t>0.03秒</t>
        </is>
      </c>
      <c r="C67" s="12" t="inlineStr">
        <is>
          <t>UPDATE が行ロック待ちに入る（最大10秒）</t>
        </is>
      </c>
      <c r="D67" s="12" t="inlineStr">
        <is>
          <t>最大50秒待つ</t>
        </is>
      </c>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1" t="n"/>
    </row>
    <row r="68" ht="52" customHeight="1">
      <c r="B68" s="13" t="inlineStr">
        <is>
          <t>10.03秒</t>
        </is>
      </c>
      <c r="C68" s="9" t="inlineStr">
        <is>
          <t>ERROR 1205 → アプリがトランザクション全体をロールバック → 503（業務エラーJSON）を返す</t>
        </is>
      </c>
      <c r="D68" s="9" t="inlineStr">
        <is>
          <t>まだ待っている</t>
        </is>
      </c>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1" t="n"/>
    </row>
    <row r="69" ht="37" customHeight="1">
      <c r="B69" s="14" t="inlineStr">
        <is>
          <t>10.05秒</t>
        </is>
      </c>
      <c r="C69" s="12" t="inlineStr">
        <is>
          <t>クライアントに理由つきエラーが届く。リトライは指数バックオフで数秒後</t>
        </is>
      </c>
      <c r="D69" s="12" t="inlineStr">
        <is>
          <t>まだ待っている</t>
        </is>
      </c>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1" t="n"/>
    </row>
    <row r="70" ht="22" customHeight="1">
      <c r="B70" s="13" t="inlineStr">
        <is>
          <t>29.00秒</t>
        </is>
      </c>
      <c r="C70" s="9" t="inlineStr">
        <is>
          <t>（すでに終わっている）</t>
        </is>
      </c>
      <c r="D70" s="9" t="inlineStr">
        <is>
          <t>API Gateway が504。クライアントは理由が分からず即リトライ → 同じロック待ちが2本に</t>
        </is>
      </c>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1" t="n"/>
    </row>
    <row r="71" ht="22" customHeight="1">
      <c r="B71" s="14" t="inlineStr">
        <is>
          <t>50.03秒</t>
        </is>
      </c>
      <c r="C71" s="12" t="inlineStr">
        <is>
          <t>—</t>
        </is>
      </c>
      <c r="D71" s="12" t="inlineStr">
        <is>
          <t>最初の処理が ERROR 1205。誰も結果を待っていない（ゾンビ処理）</t>
        </is>
      </c>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1" t="n"/>
    </row>
    <row r="72" ht="10" customHeight="1"/>
    <row r="73" ht="24" customHeight="1">
      <c r="B73" s="5" t="inlineStr">
        <is>
          <t xml:space="preserve">　時系列②：イントラAPI（最重）で、重いSELECTが終わらない場合</t>
        </is>
      </c>
    </row>
    <row r="74" ht="4" customHeight="1"/>
    <row r="75" ht="23" customHeight="1">
      <c r="B75" s="6" t="inlineStr">
        <is>
          <t>時刻</t>
        </is>
      </c>
      <c r="C75" s="6" t="inlineStr">
        <is>
          <t>P2（推奨）で起きること</t>
        </is>
      </c>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c r="AK75" s="7" t="n"/>
      <c r="AL75" s="7" t="n"/>
      <c r="AM75" s="8" t="n"/>
    </row>
    <row r="76" ht="22" customHeight="1">
      <c r="B76" s="13" t="inlineStr">
        <is>
          <t>0秒</t>
        </is>
      </c>
      <c r="C76" s="9" t="inlineStr">
        <is>
          <t>社内システムから送信 → ALB-2 → ECSサービスB。JTA 120秒の時計が動き出す</t>
        </is>
      </c>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1" t="n"/>
    </row>
    <row r="77" ht="22" customHeight="1">
      <c r="B77" s="14" t="inlineStr">
        <is>
          <t>0〜115秒</t>
        </is>
      </c>
      <c r="C77" s="12" t="inlineStr">
        <is>
          <t>SELECT /*+ MAX_EXECUTION_TIME(115000) */ が実行中。ALB-2 の idle（150秒）は応答待ちの上限として動いている</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1" t="n"/>
    </row>
    <row r="78" ht="22" customHeight="1">
      <c r="B78" s="13" t="inlineStr">
        <is>
          <t>115秒</t>
        </is>
      </c>
      <c r="C78" s="9" t="inlineStr">
        <is>
          <t>Aurora が ERROR 3024 で SELECT を中断 → アプリが「処理時間超過」のエラー応答を返す</t>
        </is>
      </c>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1" t="n"/>
    </row>
    <row r="79" ht="22" customHeight="1">
      <c r="B79" s="14" t="inlineStr">
        <is>
          <t>115秒＋α</t>
        </is>
      </c>
      <c r="C79" s="12" t="inlineStr">
        <is>
          <t>社内システムがエラーを受信（呼出元の160秒、ALB の150秒、socketTimeout の130秒は鳴らない）</t>
        </is>
      </c>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1" t="n"/>
    </row>
    <row r="80" ht="22" customHeight="1">
      <c r="B80" s="13" t="inlineStr">
        <is>
          <t>対策</t>
        </is>
      </c>
      <c r="C80" s="9" t="inlineStr">
        <is>
          <t>同じ処理が何度も超えるなら、インデックス・SQL改善、またはP4（非同期）へ移す</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1" t="n"/>
    </row>
    <row r="81" ht="10" customHeight="1"/>
    <row r="82" ht="24" customHeight="1">
      <c r="B82" s="5" t="inlineStr">
        <is>
          <t xml:space="preserve">　時系列③：Aurora のフェイルオーバー</t>
        </is>
      </c>
    </row>
    <row r="83" ht="4" customHeight="1"/>
    <row r="84" ht="38" customHeight="1">
      <c r="B84" s="6" t="inlineStr">
        <is>
          <t>時刻</t>
        </is>
      </c>
      <c r="C84" s="6" t="inlineStr">
        <is>
          <t>オンライン（オンライン用 Proxy：借用待ち10秒）</t>
        </is>
      </c>
      <c r="D84" s="6" t="inlineStr">
        <is>
          <t>バッチ（バッチ用 Proxy：借用待ち120秒）</t>
        </is>
      </c>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7" t="n"/>
      <c r="AL84" s="7" t="n"/>
      <c r="AM84" s="8" t="n"/>
    </row>
    <row r="85" ht="37" customHeight="1">
      <c r="B85" s="13" t="inlineStr">
        <is>
          <t>0秒</t>
        </is>
      </c>
      <c r="C85" s="9" t="inlineStr">
        <is>
          <t>ライターが停止。処理中のトランザクションはエラーになりうる</t>
        </is>
      </c>
      <c r="D85" s="9" t="inlineStr">
        <is>
          <t>処理中のチャンクはエラーになりうる</t>
        </is>
      </c>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1" t="n"/>
    </row>
    <row r="86" ht="52" customHeight="1">
      <c r="B86" s="14" t="inlineStr">
        <is>
          <t>0秒〜</t>
        </is>
      </c>
      <c r="C86" s="12" t="inlineStr">
        <is>
          <t>Proxy はアイドルなクライアント接続を保持。新しいトランザクションは借用待ちに入る</t>
        </is>
      </c>
      <c r="D86" s="12" t="inlineStr">
        <is>
          <t>同じ</t>
        </is>
      </c>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1" t="n"/>
    </row>
    <row r="87" ht="52" customHeight="1">
      <c r="B87" s="13" t="inlineStr">
        <is>
          <t>10秒</t>
        </is>
      </c>
      <c r="C87" s="9" t="inlineStr">
        <is>
          <t>借用待ちが10秒を超えたリクエストはエラー → アプリが503＋Retry-After を返す（呼出元が少し後にリトライ）</t>
        </is>
      </c>
      <c r="D87" s="9" t="inlineStr">
        <is>
          <t>まだ待てる</t>
        </is>
      </c>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1" t="n"/>
    </row>
    <row r="88" ht="37" customHeight="1">
      <c r="B88" s="14" t="inlineStr">
        <is>
          <t>数十秒以内</t>
        </is>
      </c>
      <c r="C88" s="12" t="inlineStr">
        <is>
          <t>新しいライターに接続がつながり、以降は正常</t>
        </is>
      </c>
      <c r="D88" s="12" t="inlineStr">
        <is>
          <t>借用が成功し、失敗したチャンクだけを再実行</t>
        </is>
      </c>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1" t="n"/>
    </row>
    <row r="89" ht="10" customHeight="1"/>
    <row r="90" ht="24" customHeight="1">
      <c r="B90" s="5" t="inlineStr">
        <is>
          <t xml:space="preserve">　時系列④：ECS のローリングデプロイ（イントラAPI）</t>
        </is>
      </c>
    </row>
    <row r="91" ht="4" customHeight="1"/>
    <row r="92" ht="23" customHeight="1">
      <c r="B92" s="6" t="inlineStr">
        <is>
          <t>時刻</t>
        </is>
      </c>
      <c r="C92" s="6" t="inlineStr">
        <is>
          <t>起きること</t>
        </is>
      </c>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c r="AK92" s="7" t="n"/>
      <c r="AL92" s="7" t="n"/>
      <c r="AM92" s="8" t="n"/>
    </row>
    <row r="93" ht="22" customHeight="1">
      <c r="B93" s="13" t="inlineStr">
        <is>
          <t>0秒</t>
        </is>
      </c>
      <c r="C93" s="9" t="inlineStr">
        <is>
          <t>新しいタスクが起動し、ヘルスチェック合格（猶予 healthCheckGracePeriodSeconds）</t>
        </is>
      </c>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1" t="n"/>
    </row>
    <row r="94" ht="22" customHeight="1">
      <c r="B94" s="14" t="inlineStr">
        <is>
          <t>0秒</t>
        </is>
      </c>
      <c r="C94" s="12" t="inlineStr">
        <is>
          <t>古いタスクを ALB から登録解除（ドレイン開始）。新しいリクエストは来なくなる</t>
        </is>
      </c>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1" t="n"/>
    </row>
    <row r="95" ht="22" customHeight="1">
      <c r="B95" s="13" t="inlineStr">
        <is>
          <t>〜135秒</t>
        </is>
      </c>
      <c r="C95" s="9" t="inlineStr">
        <is>
          <t>処理中のリクエスト（最長120秒）が終わるのを待つ（登録解除遅延135秒）</t>
        </is>
      </c>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1" t="n"/>
    </row>
    <row r="96" ht="22" customHeight="1">
      <c r="B96" s="14" t="inlineStr">
        <is>
          <t>135秒</t>
        </is>
      </c>
      <c r="C96" s="12" t="inlineStr">
        <is>
          <t>ECS が SIGTERM を送る。JBoss はグレースフル停止（suspend）で残りを終える</t>
        </is>
      </c>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1" t="n"/>
    </row>
    <row r="97" ht="22" customHeight="1">
      <c r="B97" s="13" t="inlineStr">
        <is>
          <t>135〜195秒</t>
        </is>
      </c>
      <c r="C97" s="9" t="inlineStr">
        <is>
          <t>stopTimeout（60秒）以内に終わらなければ SIGKILL。XA の途中なら in-doubt になりうる → ObjectStore 永続化が重要</t>
        </is>
      </c>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1" t="n"/>
    </row>
  </sheetData>
  <mergeCells count="48">
    <mergeCell ref="D84:AM84"/>
    <mergeCell ref="D65:AM65"/>
    <mergeCell ref="C95:AM95"/>
    <mergeCell ref="B28:AL28"/>
    <mergeCell ref="B37:AL37"/>
    <mergeCell ref="C76:AM76"/>
    <mergeCell ref="D2:AM2"/>
    <mergeCell ref="B4:AM4"/>
    <mergeCell ref="D86:AM86"/>
    <mergeCell ref="B2:C2"/>
    <mergeCell ref="B90:AM90"/>
    <mergeCell ref="D70:AM70"/>
    <mergeCell ref="F59:M59"/>
    <mergeCell ref="AG59:AN59"/>
    <mergeCell ref="D66:AM66"/>
    <mergeCell ref="D87:AM87"/>
    <mergeCell ref="C78:AM78"/>
    <mergeCell ref="X47:AE47"/>
    <mergeCell ref="D71:AM71"/>
    <mergeCell ref="C96:AM96"/>
    <mergeCell ref="C92:AM92"/>
    <mergeCell ref="C77:AM77"/>
    <mergeCell ref="B61:AM61"/>
    <mergeCell ref="F47:M47"/>
    <mergeCell ref="D68:AM68"/>
    <mergeCell ref="O59:V59"/>
    <mergeCell ref="B1:AM1"/>
    <mergeCell ref="C75:AM75"/>
    <mergeCell ref="B82:AM82"/>
    <mergeCell ref="D64:AM64"/>
    <mergeCell ref="O47:V47"/>
    <mergeCell ref="B18:AL18"/>
    <mergeCell ref="D67:AM67"/>
    <mergeCell ref="B73:AM73"/>
    <mergeCell ref="C79:AM79"/>
    <mergeCell ref="C97:AM97"/>
    <mergeCell ref="D85:AM85"/>
    <mergeCell ref="D88:AM88"/>
    <mergeCell ref="C94:AM94"/>
    <mergeCell ref="X59:AE59"/>
    <mergeCell ref="D69:AM69"/>
    <mergeCell ref="C93:AM93"/>
    <mergeCell ref="D63:AM63"/>
    <mergeCell ref="B49:AM49"/>
    <mergeCell ref="B51:AD51"/>
    <mergeCell ref="C80:AM80"/>
    <mergeCell ref="B8:AL8"/>
    <mergeCell ref="B6:AM6"/>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1.xml><?xml version="1.0" encoding="utf-8"?>
<worksheet xmlns="http://schemas.openxmlformats.org/spreadsheetml/2006/main">
  <sheetPr>
    <tabColor rgb="00A6A6A6"/>
    <outlinePr summaryBelow="1" summaryRight="1"/>
    <pageSetUpPr fitToPage="1"/>
  </sheetPr>
  <dimension ref="A1:G19"/>
  <sheetViews>
    <sheetView showGridLines="0" zoomScale="100" workbookViewId="0">
      <selection activeCell="A1" sqref="A1"/>
    </sheetView>
  </sheetViews>
  <sheetFormatPr baseColWidth="8" defaultRowHeight="15"/>
  <cols>
    <col width="2" customWidth="1" min="1" max="1"/>
    <col width="6" customWidth="1" min="2" max="2"/>
    <col width="24" customWidth="1" min="3" max="3"/>
    <col width="40" customWidth="1" min="4" max="4"/>
    <col width="40" customWidth="1" min="5" max="5"/>
    <col width="26" customWidth="1" min="6" max="6"/>
    <col width="28" customWidth="1" min="7" max="7"/>
  </cols>
  <sheetData>
    <row r="1" ht="36" customHeight="1">
      <c r="B1" s="1" t="inlineStr">
        <is>
          <t>障害シナリオ別の挙動（既定値 vs 推奨値）</t>
        </is>
      </c>
      <c r="C1" s="2" t="n"/>
      <c r="D1" s="2" t="n"/>
      <c r="E1" s="2" t="n"/>
      <c r="F1" s="2" t="n"/>
      <c r="G1" s="2" t="n"/>
    </row>
    <row r="2" ht="18" customHeight="1">
      <c r="B2" s="20" t="inlineStr">
        <is>
          <t>« 00_表紙（目次）へ戻る</t>
        </is>
      </c>
      <c r="D2" s="21" t="inlineStr">
        <is>
          <t>Aurora Serverless v2 共有構成のタイムアウト設計ガイド　｜　障害シナリオ別の挙動（既定値 vs 推奨値）</t>
        </is>
      </c>
    </row>
    <row r="3" ht="6" customHeight="1"/>
    <row r="4" ht="21" customHeight="1">
      <c r="B4" s="4" t="inlineStr">
        <is>
          <t>よく起きるトラブルを、既定値（P0）のままの場合と推奨値（P2）の場合で比べます。試験（14_チェックリスト）ではこれらを意図的に起こして確かめます。</t>
        </is>
      </c>
    </row>
    <row r="5" ht="23" customHeight="1">
      <c r="B5" s="6" t="inlineStr">
        <is>
          <t>No</t>
        </is>
      </c>
      <c r="C5" s="6" t="inlineStr">
        <is>
          <t>シナリオ</t>
        </is>
      </c>
      <c r="D5" s="6" t="inlineStr">
        <is>
          <t>既定値（P0）だと</t>
        </is>
      </c>
      <c r="E5" s="6" t="inlineStr">
        <is>
          <t>推奨値（P2）だと</t>
        </is>
      </c>
      <c r="F5" s="6" t="inlineStr">
        <is>
          <t>呼出元が見るもの</t>
        </is>
      </c>
      <c r="G5" s="6" t="inlineStr">
        <is>
          <t>見るべきメトリクス・ログ</t>
        </is>
      </c>
    </row>
    <row r="6" ht="37" customHeight="1">
      <c r="B6" s="23" t="inlineStr">
        <is>
          <t>1</t>
        </is>
      </c>
      <c r="C6" s="9" t="inlineStr">
        <is>
          <t>行ロック競合（バッチが更新中の行をAPIが更新）</t>
        </is>
      </c>
      <c r="D6" s="9" t="inlineStr">
        <is>
          <t>ロック待ち50秒 ＞ API Gateway 29秒 → 504。裏で処理が続き、リトライでロック待ちが倍増</t>
        </is>
      </c>
      <c r="E6" s="9" t="inlineStr">
        <is>
          <t>10秒で ERROR 1205 → ロールバック → 503（業務エラー）</t>
        </is>
      </c>
      <c r="F6" s="9" t="inlineStr">
        <is>
          <t>503＋Retry-After</t>
        </is>
      </c>
      <c r="G6" s="9" t="inlineStr">
        <is>
          <t>BlockedTransactions、アプリログの1205</t>
        </is>
      </c>
    </row>
    <row r="7" ht="37" customHeight="1">
      <c r="B7" s="24" t="inlineStr">
        <is>
          <t>2</t>
        </is>
      </c>
      <c r="C7" s="12" t="inlineStr">
        <is>
          <t>インデックス漏れの重いSELECT（イントラAPI）</t>
        </is>
      </c>
      <c r="D7" s="12" t="inlineStr">
        <is>
          <t>ALB の60秒で504。SQLはDBで走り続ける</t>
        </is>
      </c>
      <c r="E7" s="12" t="inlineStr">
        <is>
          <t>115秒で ERROR 3024 → エラー応答</t>
        </is>
      </c>
      <c r="F7" s="12" t="inlineStr">
        <is>
          <t>処理時間超過のエラー</t>
        </is>
      </c>
      <c r="G7" s="12" t="inlineStr">
        <is>
          <t>スロークエリログ、Database Insights の上位SQL</t>
        </is>
      </c>
    </row>
    <row r="8" ht="52" customHeight="1">
      <c r="B8" s="23" t="inlineStr">
        <is>
          <t>3</t>
        </is>
      </c>
      <c r="C8" s="9" t="inlineStr">
        <is>
          <t>アクセス急増でJBossのプールが枯渇</t>
        </is>
      </c>
      <c r="D8" s="9" t="inlineStr">
        <is>
          <t>30秒待ち → API Gateway 504、Undertowのスレッドも枯渇 → ヘルスチェック失敗 → タスク再起動の連鎖</t>
        </is>
      </c>
      <c r="E8" s="9" t="inlineStr">
        <is>
          <t>3秒で IJ000655 → 503で即返却。他経路は別サービスなので無傷</t>
        </is>
      </c>
      <c r="F8" s="9" t="inlineStr">
        <is>
          <t>503</t>
        </is>
      </c>
      <c r="G8" s="9" t="inlineStr">
        <is>
          <t>データソース統計（WaitCount・TimedOut）、TargetResponseTime</t>
        </is>
      </c>
    </row>
    <row r="9" ht="82" customHeight="1">
      <c r="B9" s="24" t="inlineStr">
        <is>
          <t>4</t>
        </is>
      </c>
      <c r="C9" s="12" t="inlineStr">
        <is>
          <t>RDS Proxy の DB接続枠が上限</t>
        </is>
      </c>
      <c r="D9" s="12" t="inlineStr">
        <is>
          <t>借用待ち120秒 → API Gateway 504、スレッドが積み上がる</t>
        </is>
      </c>
      <c r="E9" s="12" t="inlineStr">
        <is>
          <t>10秒で借用タイムアウト → 503</t>
        </is>
      </c>
      <c r="F9" s="12" t="inlineStr">
        <is>
          <t>503</t>
        </is>
      </c>
      <c r="G9" s="12" t="inlineStr">
        <is>
          <t>DatabaseConnectionsBorrowLatency、DatabaseConnections と MaxDatabaseConnectionsAllowed</t>
        </is>
      </c>
    </row>
    <row r="10" ht="37" customHeight="1">
      <c r="B10" s="23" t="inlineStr">
        <is>
          <t>5</t>
        </is>
      </c>
      <c r="C10" s="9" t="inlineStr">
        <is>
          <t>Aurora のフェイルオーバー</t>
        </is>
      </c>
      <c r="D10" s="9" t="inlineStr">
        <is>
          <t>オンラインもバッチも長く固まる、またはDNS切替待ちで失敗</t>
        </is>
      </c>
      <c r="E10" s="9" t="inlineStr">
        <is>
          <t>オンラインは最大10秒で503（リトライで回復）、バッチは120秒まで待って継続</t>
        </is>
      </c>
      <c r="F10" s="9" t="inlineStr">
        <is>
          <t>一部が503</t>
        </is>
      </c>
      <c r="G10" s="9" t="inlineStr">
        <is>
          <t>RDSイベント、AvailabilityPercentage</t>
        </is>
      </c>
    </row>
    <row r="11" ht="37" customHeight="1">
      <c r="B11" s="24" t="inlineStr">
        <is>
          <t>6</t>
        </is>
      </c>
      <c r="C11" s="12" t="inlineStr">
        <is>
          <t>ローリングデプロイ中の長いリクエスト</t>
        </is>
      </c>
      <c r="D11" s="12" t="inlineStr">
        <is>
          <t>登録解除300秒で遅い。または stopTimeout 30秒で長い処理が強制終了</t>
        </is>
      </c>
      <c r="E11" s="12" t="inlineStr">
        <is>
          <t>登録解除135秒で完了を待ち、その後 stopTimeout 60秒でグレースフル停止</t>
        </is>
      </c>
      <c r="F11" s="12" t="inlineStr">
        <is>
          <t>影響なし</t>
        </is>
      </c>
      <c r="G11" s="12" t="inlineStr">
        <is>
          <t>デプロイ時の HTTPCode_ELB_5XX</t>
        </is>
      </c>
    </row>
    <row r="12" ht="37" customHeight="1">
      <c r="B12" s="23" t="inlineStr">
        <is>
          <t>7</t>
        </is>
      </c>
      <c r="C12" s="9" t="inlineStr">
        <is>
          <t>keep-alive の競合</t>
        </is>
      </c>
      <c r="D12" s="9" t="inlineStr">
        <is>
          <t>Undertow 60秒＝ALB 60秒 → ときどき502</t>
        </is>
      </c>
      <c r="E12" s="9" t="inlineStr">
        <is>
          <t>Undertow 75秒／165秒 ＞ ALB → 502が出ない</t>
        </is>
      </c>
      <c r="F12" s="9" t="inlineStr">
        <is>
          <t>（なし）</t>
        </is>
      </c>
      <c r="G12" s="9" t="inlineStr">
        <is>
          <t>HTTPCode_ELB_502_Count</t>
        </is>
      </c>
    </row>
    <row r="13" ht="37" customHeight="1">
      <c r="B13" s="24" t="inlineStr">
        <is>
          <t>8</t>
        </is>
      </c>
      <c r="C13" s="12" t="inlineStr">
        <is>
          <t>朝一番のリクエスト（夜間アイドル後）</t>
        </is>
      </c>
      <c r="D13" s="12" t="inlineStr">
        <is>
          <t>プール idle 30分＝IdleClient 30分 → 切断済み接続を掴んで通信エラー</t>
        </is>
      </c>
      <c r="E13" s="12" t="inlineStr">
        <is>
          <t>プール idle 10分＋validate-on-match で不良接続を捨てる</t>
        </is>
      </c>
      <c r="F13" s="12" t="inlineStr">
        <is>
          <t>影響なし</t>
        </is>
      </c>
      <c r="G13" s="12" t="inlineStr">
        <is>
          <t>アプリログの CommunicationsException</t>
        </is>
      </c>
    </row>
    <row r="14" ht="37" customHeight="1">
      <c r="B14" s="23" t="inlineStr">
        <is>
          <t>9</t>
        </is>
      </c>
      <c r="C14" s="9" t="inlineStr">
        <is>
          <t>Salesforce の既定10秒</t>
        </is>
      </c>
      <c r="D14" s="9" t="inlineStr">
        <is>
          <t>Salesforce が10秒で諦めて再送 → 二重登録</t>
        </is>
      </c>
      <c r="E14" s="9" t="inlineStr">
        <is>
          <t>setTimeout 40秒＋冪等キーで重複を排除</t>
        </is>
      </c>
      <c r="F14" s="9" t="inlineStr">
        <is>
          <t>正常応答</t>
        </is>
      </c>
      <c r="G14" s="9" t="inlineStr">
        <is>
          <t>Salesforce のデバッグログ、冪等キーの重複件数</t>
        </is>
      </c>
    </row>
    <row r="15" ht="37" customHeight="1">
      <c r="B15" s="24" t="inlineStr">
        <is>
          <t>10</t>
        </is>
      </c>
      <c r="C15" s="12" t="inlineStr">
        <is>
          <t>API Gateway が504を返したあとも処理継続</t>
        </is>
      </c>
      <c r="D15" s="12" t="inlineStr">
        <is>
          <t>JTA 300秒 → 最大5分処理が続き、成功していることもある（結果の不一致）</t>
        </is>
      </c>
      <c r="E15" s="12" t="inlineStr">
        <is>
          <t>JTA 25秒 ＜ 29秒なので、API Gateway より先にアプリが終わる</t>
        </is>
      </c>
      <c r="F15" s="12" t="inlineStr">
        <is>
          <t>業務エラー</t>
        </is>
      </c>
      <c r="G15" s="12" t="inlineStr">
        <is>
          <t>IntegrationLatency と ARJUNA012117 の件数</t>
        </is>
      </c>
    </row>
    <row r="16" ht="37" customHeight="1">
      <c r="B16" s="23" t="inlineStr">
        <is>
          <t>11</t>
        </is>
      </c>
      <c r="C16" s="9" t="inlineStr">
        <is>
          <t>バッチのステップ間の長い待ち</t>
        </is>
      </c>
      <c r="D16" s="9" t="inlineStr">
        <is>
          <t>IdleClient 30分で切断 → 次のステップで通信エラー</t>
        </is>
      </c>
      <c r="E16" s="9" t="inlineStr">
        <is>
          <t>バッチ用 Proxy は7,200秒＋プールの接続検証</t>
        </is>
      </c>
      <c r="F16" s="9" t="inlineStr">
        <is>
          <t>影響なし</t>
        </is>
      </c>
      <c r="G16" s="9" t="inlineStr">
        <is>
          <t>ClientConnectionsClosed</t>
        </is>
      </c>
    </row>
    <row r="17" ht="52" customHeight="1">
      <c r="B17" s="24" t="inlineStr">
        <is>
          <t>12</t>
        </is>
      </c>
      <c r="C17" s="12" t="inlineStr">
        <is>
          <t>XA の途中でタスク停止</t>
        </is>
      </c>
      <c r="D17" s="12" t="inlineStr">
        <is>
          <t>ObjectStore がコンテナ内 → 消失 → PREPARED が残りロックを保持 → 他経路のロック待ち</t>
        </is>
      </c>
      <c r="E17" s="12" t="inlineStr">
        <is>
          <t>ObjectStore 永続化＋一意な node-identifier → 再起動後にリカバリが解決</t>
        </is>
      </c>
      <c r="F17" s="12" t="inlineStr">
        <is>
          <t>（他経路で1205）</t>
        </is>
      </c>
      <c r="G17" s="12" t="inlineStr">
        <is>
          <t>XA RECOVER の結果、number-of-heuristics</t>
        </is>
      </c>
    </row>
    <row r="18" ht="37" customHeight="1">
      <c r="B18" s="23" t="inlineStr">
        <is>
          <t>13</t>
        </is>
      </c>
      <c r="C18" s="9" t="inlineStr">
        <is>
          <t>朝のアクセス集中で Aurora の容量が追いつかない</t>
        </is>
      </c>
      <c r="D18" s="9" t="inlineStr">
        <is>
          <t>スケール中の遅延でタイムアウト多発</t>
        </is>
      </c>
      <c r="E18" s="9" t="inlineStr">
        <is>
          <t>業務開始前に最小ACUを引き上げ（スケジュール）。重い読み取りはリーダーへ</t>
        </is>
      </c>
      <c r="F18" s="9" t="inlineStr">
        <is>
          <t>（減少）</t>
        </is>
      </c>
      <c r="G18" s="9" t="inlineStr">
        <is>
          <t>ServerlessDatabaseCapacity、ACUUtilization</t>
        </is>
      </c>
    </row>
    <row r="19" ht="37" customHeight="1">
      <c r="B19" s="24" t="inlineStr">
        <is>
          <t>14</t>
        </is>
      </c>
      <c r="C19" s="12" t="inlineStr">
        <is>
          <t>24時間を超えて使い続けた接続</t>
        </is>
      </c>
      <c r="D19" s="12" t="inlineStr">
        <is>
          <t>RDS Proxy が切断 → 1日1回程度の通信エラー</t>
        </is>
      </c>
      <c r="E19" s="12" t="inlineStr">
        <is>
          <t>ExceptionSorter と検証で捨てて張り直す（エラーは1回の再試行で吸収）</t>
        </is>
      </c>
      <c r="F19" s="12" t="inlineStr">
        <is>
          <t>（ほぼなし）</t>
        </is>
      </c>
      <c r="G19" s="12" t="inlineStr">
        <is>
          <t>アプリログ</t>
        </is>
      </c>
    </row>
  </sheetData>
  <mergeCells count="4">
    <mergeCell ref="D2:G2"/>
    <mergeCell ref="B4:G4"/>
    <mergeCell ref="B2:C2"/>
    <mergeCell ref="B1:G1"/>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2.xml><?xml version="1.0" encoding="utf-8"?>
<worksheet xmlns="http://schemas.openxmlformats.org/spreadsheetml/2006/main">
  <sheetPr>
    <tabColor rgb="00404040"/>
    <outlinePr summaryBelow="1" summaryRight="1"/>
    <pageSetUpPr fitToPage="1"/>
  </sheetPr>
  <dimension ref="A1:H71"/>
  <sheetViews>
    <sheetView showGridLines="0" zoomScale="100" workbookViewId="0">
      <selection activeCell="A1" sqref="A1"/>
    </sheetView>
  </sheetViews>
  <sheetFormatPr baseColWidth="8" defaultRowHeight="15"/>
  <cols>
    <col width="2" customWidth="1" min="1" max="1"/>
    <col width="44" customWidth="1" min="2" max="2"/>
    <col width="18" customWidth="1" min="3" max="3"/>
    <col width="18" customWidth="1" min="4" max="4"/>
    <col width="18" customWidth="1" min="5" max="5"/>
    <col width="18" customWidth="1" min="6" max="6"/>
    <col width="18" customWidth="1" min="7" max="7"/>
    <col width="50" customWidth="1" min="8" max="8"/>
  </cols>
  <sheetData>
    <row r="1" ht="36" customHeight="1">
      <c r="B1" s="1" t="inlineStr">
        <is>
          <t>タイムアウト計算シート（入力を変えると推奨値とチェックが再計算）</t>
        </is>
      </c>
      <c r="C1" s="2" t="n"/>
      <c r="D1" s="2" t="n"/>
      <c r="E1" s="2" t="n"/>
      <c r="F1" s="2" t="n"/>
      <c r="G1" s="2" t="n"/>
      <c r="H1" s="2" t="n"/>
    </row>
    <row r="2" ht="18" customHeight="1">
      <c r="B2" s="20" t="inlineStr">
        <is>
          <t>« 00_表紙（目次）へ戻る</t>
        </is>
      </c>
      <c r="C2" s="21" t="inlineStr">
        <is>
          <t>Aurora Serverless v2 共有構成のタイムアウト設計ガイド　｜　タイムアウト計算シート（入力を変えると推奨値とチェックが再計算）</t>
        </is>
      </c>
    </row>
    <row r="3" ht="6" customHeight="1"/>
    <row r="4" ht="36" customHeight="1">
      <c r="B4" s="4" t="inlineStr">
        <is>
          <t>薄いグレー＋太枠のセルが入力です。いちばん大事な入力は各経路の「アプリ処理期限（JTA）」です。外側（呼出元・API Gateway・ALB・Undertow）と内側（プール待ち・借用待ち・ロック待ち・SQL上限）は、ここから計算式で決まります。初期値は 06_推奨値_P2 の前提（外部API 25秒、イントラAPI 120秒、画面 30秒、バッチのチャンク 300秒）です。</t>
        </is>
      </c>
    </row>
    <row r="5" ht="10" customHeight="1"/>
    <row r="6" ht="24" customHeight="1">
      <c r="B6" s="5" t="inlineStr">
        <is>
          <t xml:space="preserve">　① 共通の入力（余裕時間・比率）</t>
        </is>
      </c>
    </row>
    <row r="7" ht="4" customHeight="1"/>
    <row r="8" ht="20" customHeight="1">
      <c r="B8" s="48" t="inlineStr">
        <is>
          <t>項目</t>
        </is>
      </c>
      <c r="C8" s="48" t="inlineStr">
        <is>
          <t>値</t>
        </is>
      </c>
      <c r="D8" s="48" t="inlineStr">
        <is>
          <t>説明</t>
        </is>
      </c>
      <c r="E8" s="7" t="n"/>
      <c r="F8" s="7" t="n"/>
      <c r="G8" s="7" t="n"/>
      <c r="H8" s="8" t="n"/>
    </row>
    <row r="9" ht="21" customHeight="1">
      <c r="B9" s="49" t="inlineStr">
        <is>
          <t>API Gateway 統合タイムアウトの上限（秒）</t>
        </is>
      </c>
      <c r="C9" s="50" t="n">
        <v>29</v>
      </c>
      <c r="D9" s="51" t="inlineStr">
        <is>
          <t>既定29秒。Regional／Private の REST API でクォータを引き上げた場合はその値（P3）</t>
        </is>
      </c>
      <c r="E9" s="10" t="n"/>
      <c r="F9" s="10" t="n"/>
      <c r="G9" s="10" t="n"/>
      <c r="H9" s="11" t="n"/>
    </row>
    <row r="10" ht="21" customHeight="1">
      <c r="B10" s="49" t="inlineStr">
        <is>
          <t>余裕：API Gateway － アプリ期限（秒）</t>
        </is>
      </c>
      <c r="C10" s="50" t="n">
        <v>4</v>
      </c>
      <c r="D10" s="51" t="inlineStr">
        <is>
          <t>アプリがエラーを返し、ALB・API Gateway を通って戻るまでの時間</t>
        </is>
      </c>
      <c r="E10" s="10" t="n"/>
      <c r="F10" s="10" t="n"/>
      <c r="G10" s="10" t="n"/>
      <c r="H10" s="11" t="n"/>
    </row>
    <row r="11" ht="21" customHeight="1">
      <c r="B11" s="49" t="inlineStr">
        <is>
          <t>余裕：呼出元 － 外側（秒）</t>
        </is>
      </c>
      <c r="C11" s="50" t="n">
        <v>10</v>
      </c>
      <c r="D11" s="51" t="inlineStr">
        <is>
          <t>呼出元は API Gateway（API Gateway がなければ ALB）より長く待つ。結果は5秒単位に切り上げ</t>
        </is>
      </c>
      <c r="E11" s="10" t="n"/>
      <c r="F11" s="10" t="n"/>
      <c r="G11" s="10" t="n"/>
      <c r="H11" s="11" t="n"/>
    </row>
    <row r="12" ht="36" customHeight="1">
      <c r="B12" s="49" t="inlineStr">
        <is>
          <t>余裕：ALB idle － そのALBの最長アプリ期限（秒）</t>
        </is>
      </c>
      <c r="C12" s="50" t="n">
        <v>30</v>
      </c>
      <c r="D12" s="51" t="inlineStr">
        <is>
          <t>ALB は「ふだん鳴らない安全ベルト」。正当な処理を切らないよう大きめに</t>
        </is>
      </c>
      <c r="E12" s="10" t="n"/>
      <c r="F12" s="10" t="n"/>
      <c r="G12" s="10" t="n"/>
      <c r="H12" s="11" t="n"/>
    </row>
    <row r="13" ht="21" customHeight="1">
      <c r="B13" s="49" t="inlineStr">
        <is>
          <t>ALB idle の最低値（秒）</t>
        </is>
      </c>
      <c r="C13" s="50" t="n">
        <v>60</v>
      </c>
      <c r="D13" s="51" t="inlineStr">
        <is>
          <t>既定値60秒を下回らせない</t>
        </is>
      </c>
      <c r="E13" s="10" t="n"/>
      <c r="F13" s="10" t="n"/>
      <c r="G13" s="10" t="n"/>
      <c r="H13" s="11" t="n"/>
    </row>
    <row r="14" ht="36" customHeight="1">
      <c r="B14" s="49" t="inlineStr">
        <is>
          <t>余裕：Undertow no-request-timeout － ALB idle（秒）</t>
        </is>
      </c>
      <c r="C14" s="50" t="n">
        <v>15</v>
      </c>
      <c r="D14" s="51" t="inlineStr">
        <is>
          <t>keep-alive は待つ側（サーバ）を長く。同じか短いと間欠502</t>
        </is>
      </c>
      <c r="E14" s="10" t="n"/>
      <c r="F14" s="10" t="n"/>
      <c r="G14" s="10" t="n"/>
      <c r="H14" s="11" t="n"/>
    </row>
    <row r="15" ht="21" customHeight="1">
      <c r="B15" s="49" t="inlineStr">
        <is>
          <t>余裕：socketTimeout － アプリ期限（秒）</t>
        </is>
      </c>
      <c r="C15" s="50" t="n">
        <v>10</v>
      </c>
      <c r="D15" s="51" t="inlineStr">
        <is>
          <t>最後の安全ベルト</t>
        </is>
      </c>
      <c r="E15" s="10" t="n"/>
      <c r="F15" s="10" t="n"/>
      <c r="G15" s="10" t="n"/>
      <c r="H15" s="11" t="n"/>
    </row>
    <row r="16" ht="21" customHeight="1">
      <c r="B16" s="49" t="inlineStr">
        <is>
          <t>余裕：登録解除遅延 － アプリ期限（秒）</t>
        </is>
      </c>
      <c r="C16" s="50" t="n">
        <v>15</v>
      </c>
      <c r="D16" s="51" t="inlineStr">
        <is>
          <t>デプロイ時に処理中のリクエストを最後まで待つ</t>
        </is>
      </c>
      <c r="E16" s="10" t="n"/>
      <c r="F16" s="10" t="n"/>
      <c r="G16" s="10" t="n"/>
      <c r="H16" s="11" t="n"/>
    </row>
    <row r="17" ht="21" customHeight="1">
      <c r="B17" s="49" t="inlineStr">
        <is>
          <t>プール待ちの割合（アプリ期限に対する比）</t>
        </is>
      </c>
      <c r="C17" s="52" t="n">
        <v>0.12</v>
      </c>
      <c r="D17" s="51" t="inlineStr">
        <is>
          <t>結果は2〜10秒に収める</t>
        </is>
      </c>
      <c r="E17" s="10" t="n"/>
      <c r="F17" s="10" t="n"/>
      <c r="G17" s="10" t="n"/>
      <c r="H17" s="11" t="n"/>
    </row>
    <row r="18" ht="36" customHeight="1">
      <c r="B18" s="49" t="inlineStr">
        <is>
          <t>借用待ち・ロック待ちの割合（同じ Proxy を使う経路の最短期限に対する比）</t>
        </is>
      </c>
      <c r="C18" s="52" t="n">
        <v>0.4</v>
      </c>
      <c r="D18" s="51" t="inlineStr">
        <is>
          <t>借用待ちは最大30秒</t>
        </is>
      </c>
      <c r="E18" s="10" t="n"/>
      <c r="F18" s="10" t="n"/>
      <c r="G18" s="10" t="n"/>
      <c r="H18" s="11" t="n"/>
    </row>
    <row r="19" ht="21" customHeight="1">
      <c r="B19" s="49" t="inlineStr">
        <is>
          <t>オンラインのロック待ちの上限（秒）</t>
        </is>
      </c>
      <c r="C19" s="50" t="n">
        <v>10</v>
      </c>
      <c r="D19" s="51" t="inlineStr">
        <is>
          <t>オンライン用 Proxy の InitQuery で設定</t>
        </is>
      </c>
      <c r="E19" s="10" t="n"/>
      <c r="F19" s="10" t="n"/>
      <c r="G19" s="10" t="n"/>
      <c r="H19" s="11" t="n"/>
    </row>
    <row r="20" ht="21" customHeight="1">
      <c r="B20" s="49" t="inlineStr">
        <is>
          <t>バッチ用 Proxy の借用待ち（秒）</t>
        </is>
      </c>
      <c r="C20" s="50" t="n">
        <v>120</v>
      </c>
      <c r="D20" s="51" t="inlineStr">
        <is>
          <t>フェイルオーバーを待ち切る（設定範囲0〜300）</t>
        </is>
      </c>
      <c r="E20" s="10" t="n"/>
      <c r="F20" s="10" t="n"/>
      <c r="G20" s="10" t="n"/>
      <c r="H20" s="11" t="n"/>
    </row>
    <row r="21" ht="21" customHeight="1">
      <c r="B21" s="49" t="inlineStr">
        <is>
          <t>バッチのロック待ち（秒）</t>
        </is>
      </c>
      <c r="C21" s="50" t="n">
        <v>120</v>
      </c>
      <c r="D21" s="51" t="inlineStr">
        <is>
          <t>バッチ用 Proxy の InitQuery で設定</t>
        </is>
      </c>
      <c r="E21" s="10" t="n"/>
      <c r="F21" s="10" t="n"/>
      <c r="G21" s="10" t="n"/>
      <c r="H21" s="11" t="n"/>
    </row>
    <row r="22" ht="36" customHeight="1">
      <c r="B22" s="49" t="inlineStr">
        <is>
          <t>オンライン用 Proxy の IdleClientTimeout（秒）</t>
        </is>
      </c>
      <c r="C22" s="50" t="n">
        <v>1800</v>
      </c>
      <c r="D22" s="51" t="inlineStr">
        <is>
          <t>既定1,800秒</t>
        </is>
      </c>
      <c r="E22" s="10" t="n"/>
      <c r="F22" s="10" t="n"/>
      <c r="G22" s="10" t="n"/>
      <c r="H22" s="11" t="n"/>
    </row>
    <row r="23" ht="21" customHeight="1">
      <c r="B23" s="49" t="inlineStr">
        <is>
          <t>バッチ用 Proxy の IdleClientTimeout（秒）</t>
        </is>
      </c>
      <c r="C23" s="50" t="n">
        <v>7200</v>
      </c>
      <c r="D23" s="51" t="inlineStr">
        <is>
          <t>ステップ間の長い待ちに対応</t>
        </is>
      </c>
      <c r="E23" s="10" t="n"/>
      <c r="F23" s="10" t="n"/>
      <c r="G23" s="10" t="n"/>
      <c r="H23" s="11" t="n"/>
    </row>
    <row r="24" ht="10" customHeight="1"/>
    <row r="25" ht="24" customHeight="1">
      <c r="B25" s="5" t="inlineStr">
        <is>
          <t xml:space="preserve">　② 経路ごとの入力</t>
        </is>
      </c>
    </row>
    <row r="26" ht="4" customHeight="1"/>
    <row r="27" ht="22" customHeight="1">
      <c r="B27" s="6" t="inlineStr">
        <is>
          <t>項目</t>
        </is>
      </c>
      <c r="C27" s="6" t="inlineStr">
        <is>
          <t>インターネットAPI</t>
        </is>
      </c>
      <c r="D27" s="6" t="inlineStr">
        <is>
          <t>Salesforce API</t>
        </is>
      </c>
      <c r="E27" s="6" t="inlineStr">
        <is>
          <t>イントラAPI（最重）</t>
        </is>
      </c>
      <c r="F27" s="6" t="inlineStr">
        <is>
          <t>イントラ画面</t>
        </is>
      </c>
      <c r="G27" s="6" t="inlineStr">
        <is>
          <t>バッチ</t>
        </is>
      </c>
      <c r="H27" s="6" t="inlineStr">
        <is>
          <t>説明</t>
        </is>
      </c>
    </row>
    <row r="28" ht="21" customHeight="1">
      <c r="B28" s="49" t="inlineStr">
        <is>
          <t>種別（API／画面／バッチ）</t>
        </is>
      </c>
      <c r="C28" s="53" t="inlineStr">
        <is>
          <t>API</t>
        </is>
      </c>
      <c r="D28" s="53" t="inlineStr">
        <is>
          <t>API</t>
        </is>
      </c>
      <c r="E28" s="53" t="inlineStr">
        <is>
          <t>API</t>
        </is>
      </c>
      <c r="F28" s="53" t="inlineStr">
        <is>
          <t>画面</t>
        </is>
      </c>
      <c r="G28" s="53" t="inlineStr">
        <is>
          <t>バッチ</t>
        </is>
      </c>
      <c r="H28" s="51" t="inlineStr">
        <is>
          <t>画面は「人が待つ」ため呼出元の値の決め方が違う</t>
        </is>
      </c>
    </row>
    <row r="29" ht="21" customHeight="1">
      <c r="B29" s="49" t="inlineStr">
        <is>
          <t>API Gateway 経由（1＝経由、0＝なし）</t>
        </is>
      </c>
      <c r="C29" s="50" t="n">
        <v>1</v>
      </c>
      <c r="D29" s="50" t="n">
        <v>1</v>
      </c>
      <c r="E29" s="50" t="n">
        <v>0</v>
      </c>
      <c r="F29" s="50" t="n">
        <v>0</v>
      </c>
      <c r="G29" s="50" t="n">
        <v>0</v>
      </c>
      <c r="H29" s="51" t="inlineStr"/>
    </row>
    <row r="30" ht="21" customHeight="1">
      <c r="B30" s="49" t="inlineStr">
        <is>
          <t>利用する ALB（同じ名前＝共有）</t>
        </is>
      </c>
      <c r="C30" s="53" t="inlineStr">
        <is>
          <t>ALB-1</t>
        </is>
      </c>
      <c r="D30" s="53" t="inlineStr">
        <is>
          <t>ALB-1</t>
        </is>
      </c>
      <c r="E30" s="53" t="inlineStr">
        <is>
          <t>ALB-2</t>
        </is>
      </c>
      <c r="F30" s="53" t="inlineStr">
        <is>
          <t>ALB-2</t>
        </is>
      </c>
      <c r="G30" s="53" t="inlineStr">
        <is>
          <t>—</t>
        </is>
      </c>
      <c r="H30" s="51" t="inlineStr">
        <is>
          <t>P1（共有型）を試すなら全部 ALB-1 にする</t>
        </is>
      </c>
    </row>
    <row r="31" ht="21" customHeight="1">
      <c r="B31" s="49" t="inlineStr">
        <is>
          <t>利用する RDS Proxy（同じ名前＝共有）</t>
        </is>
      </c>
      <c r="C31" s="53" t="inlineStr">
        <is>
          <t>Proxy-Online</t>
        </is>
      </c>
      <c r="D31" s="53" t="inlineStr">
        <is>
          <t>Proxy-Online</t>
        </is>
      </c>
      <c r="E31" s="53" t="inlineStr">
        <is>
          <t>Proxy-Online</t>
        </is>
      </c>
      <c r="F31" s="53" t="inlineStr">
        <is>
          <t>Proxy-Online</t>
        </is>
      </c>
      <c r="G31" s="53" t="inlineStr">
        <is>
          <t>Proxy-Batch</t>
        </is>
      </c>
      <c r="H31" s="51" t="inlineStr"/>
    </row>
    <row r="32" ht="21" customHeight="1">
      <c r="B32" s="54" t="inlineStr">
        <is>
          <t>アプリ処理期限＝JTA（秒）★最重要</t>
        </is>
      </c>
      <c r="C32" s="50" t="n">
        <v>25</v>
      </c>
      <c r="D32" s="50" t="n">
        <v>25</v>
      </c>
      <c r="E32" s="50" t="n">
        <v>120</v>
      </c>
      <c r="F32" s="50" t="n">
        <v>30</v>
      </c>
      <c r="G32" s="50" t="n">
        <v>300</v>
      </c>
      <c r="H32" s="51" t="inlineStr">
        <is>
          <t>バッチはチャンク（コミット単位）1回の期限</t>
        </is>
      </c>
    </row>
    <row r="33" ht="36" customHeight="1">
      <c r="B33" s="49" t="inlineStr">
        <is>
          <t>SQL 1本の想定最大（秒）※バッチで使用</t>
        </is>
      </c>
      <c r="C33" s="50" t="n">
        <v>15</v>
      </c>
      <c r="D33" s="50" t="n">
        <v>15</v>
      </c>
      <c r="E33" s="50" t="n">
        <v>100</v>
      </c>
      <c r="F33" s="50" t="n">
        <v>20</v>
      </c>
      <c r="G33" s="50" t="n">
        <v>900</v>
      </c>
      <c r="H33" s="51" t="inlineStr">
        <is>
          <t>バッチの読み取りSQL（カーソルはチャンクのトランザクションの外）</t>
        </is>
      </c>
    </row>
    <row r="34" ht="10" customHeight="1"/>
    <row r="35" ht="24" customHeight="1">
      <c r="B35" s="5" t="inlineStr">
        <is>
          <t xml:space="preserve">　③ 計算結果（推奨値）</t>
        </is>
      </c>
    </row>
    <row r="36" ht="4" customHeight="1"/>
    <row r="37" ht="22" customHeight="1">
      <c r="B37" s="6" t="inlineStr">
        <is>
          <t>設定項目</t>
        </is>
      </c>
      <c r="C37" s="6" t="inlineStr">
        <is>
          <t>インターネットAPI</t>
        </is>
      </c>
      <c r="D37" s="6" t="inlineStr">
        <is>
          <t>Salesforce API</t>
        </is>
      </c>
      <c r="E37" s="6" t="inlineStr">
        <is>
          <t>イントラAPI（最重）</t>
        </is>
      </c>
      <c r="F37" s="6" t="inlineStr">
        <is>
          <t>イントラ画面</t>
        </is>
      </c>
      <c r="G37" s="6" t="inlineStr">
        <is>
          <t>バッチ</t>
        </is>
      </c>
      <c r="H37" s="6" t="inlineStr">
        <is>
          <t>計算の規則</t>
        </is>
      </c>
    </row>
    <row r="38" ht="36" customHeight="1">
      <c r="B38" s="54" t="inlineStr">
        <is>
          <t>呼出元のタイムアウト（秒）</t>
        </is>
      </c>
      <c r="C38" s="55">
        <f>IF(C$28="バッチ","ジョブ管理側で設定",IF(C$29=1,CEILING(C$40+$C$11,5),IF(C$28="画面",CEILING(C$32+$C$11,5),CEILING(C$41+$C$11,5))))</f>
        <v/>
      </c>
      <c r="D38" s="55">
        <f>IF(D$28="バッチ","ジョブ管理側で設定",IF(D$29=1,CEILING(D$40+$C$11,5),IF(D$28="画面",CEILING(D$32+$C$11,5),CEILING(D$41+$C$11,5))))</f>
        <v/>
      </c>
      <c r="E38" s="55">
        <f>IF(E$28="バッチ","ジョブ管理側で設定",IF(E$29=1,CEILING(E$40+$C$11,5),IF(E$28="画面",CEILING(E$32+$C$11,5),CEILING(E$41+$C$11,5))))</f>
        <v/>
      </c>
      <c r="F38" s="55">
        <f>IF(F$28="バッチ","ジョブ管理側で設定",IF(F$29=1,CEILING(F$40+$C$11,5),IF(F$28="画面",CEILING(F$32+$C$11,5),CEILING(F$41+$C$11,5))))</f>
        <v/>
      </c>
      <c r="G38" s="55">
        <f>IF(G$28="バッチ","ジョブ管理側で設定",IF(G$29=1,CEILING(G$40+$C$11,5),IF(G$28="画面",CEILING(G$32+$C$11,5),CEILING(G$41+$C$11,5))))</f>
        <v/>
      </c>
      <c r="H38" s="51" t="inlineStr">
        <is>
          <t>API Gateway 経由：API Gateway＋余裕／画面：期限＋余裕／その他：ALB idle＋余裕（5秒単位に切り上げ）</t>
        </is>
      </c>
    </row>
    <row r="39" ht="21" customHeight="1">
      <c r="B39" s="54" t="inlineStr">
        <is>
          <t>Salesforce 等のコールアウト setTimeout（ms）</t>
        </is>
      </c>
      <c r="C39" s="55">
        <f>IF(C$29=1,MIN(120000,C$38*1000),"—")</f>
        <v/>
      </c>
      <c r="D39" s="55">
        <f>IF(D$29=1,MIN(120000,D$38*1000),"—")</f>
        <v/>
      </c>
      <c r="E39" s="55">
        <f>IF(E$29=1,MIN(120000,E$38*1000),"—")</f>
        <v/>
      </c>
      <c r="F39" s="55">
        <f>IF(F$29=1,MIN(120000,F$38*1000),"—")</f>
        <v/>
      </c>
      <c r="G39" s="55">
        <f>IF(G$29=1,MIN(120000,G$38*1000),"—")</f>
        <v/>
      </c>
      <c r="H39" s="51" t="inlineStr">
        <is>
          <t>呼出元の値×1000（Salesforce の上限120,000ms）</t>
        </is>
      </c>
    </row>
    <row r="40" ht="21" customHeight="1">
      <c r="B40" s="54" t="inlineStr">
        <is>
          <t>API Gateway 統合タイムアウト（秒）</t>
        </is>
      </c>
      <c r="C40" s="55">
        <f>IF(C$29=1,MIN($C$9,C$32+$C$10),"—")</f>
        <v/>
      </c>
      <c r="D40" s="55">
        <f>IF(D$29=1,MIN($C$9,D$32+$C$10),"—")</f>
        <v/>
      </c>
      <c r="E40" s="55">
        <f>IF(E$29=1,MIN($C$9,E$32+$C$10),"—")</f>
        <v/>
      </c>
      <c r="F40" s="55">
        <f>IF(F$29=1,MIN($C$9,F$32+$C$10),"—")</f>
        <v/>
      </c>
      <c r="G40" s="55">
        <f>IF(G$29=1,MIN($C$9,G$32+$C$10),"—")</f>
        <v/>
      </c>
      <c r="H40" s="51" t="inlineStr">
        <is>
          <t>min（上限, 期限＋余裕）</t>
        </is>
      </c>
    </row>
    <row r="41" ht="21" customHeight="1">
      <c r="B41" s="54" t="inlineStr">
        <is>
          <t>ALB idle_timeout（秒）</t>
        </is>
      </c>
      <c r="C41" s="55">
        <f>IF(C$30="—","—",MIN(4000,MAX($C$13,_xlfn.MAXIFS($C$32:$G$32,$C$30:$G$30,C$30)+$C$12)))</f>
        <v/>
      </c>
      <c r="D41" s="55">
        <f>IF(D$30="—","—",MIN(4000,MAX($C$13,_xlfn.MAXIFS($C$32:$G$32,$C$30:$G$30,D$30)+$C$12)))</f>
        <v/>
      </c>
      <c r="E41" s="55">
        <f>IF(E$30="—","—",MIN(4000,MAX($C$13,_xlfn.MAXIFS($C$32:$G$32,$C$30:$G$30,E$30)+$C$12)))</f>
        <v/>
      </c>
      <c r="F41" s="55">
        <f>IF(F$30="—","—",MIN(4000,MAX($C$13,_xlfn.MAXIFS($C$32:$G$32,$C$30:$G$30,F$30)+$C$12)))</f>
        <v/>
      </c>
      <c r="G41" s="55">
        <f>IF(G$30="—","—",MIN(4000,MAX($C$13,_xlfn.MAXIFS($C$32:$G$32,$C$30:$G$30,G$30)+$C$12)))</f>
        <v/>
      </c>
      <c r="H41" s="51" t="inlineStr">
        <is>
          <t>max（最低値, 同じALBを使う経路の最長期限＋余裕）。上限4,000</t>
        </is>
      </c>
    </row>
    <row r="42" ht="21" customHeight="1">
      <c r="B42" s="54" t="inlineStr">
        <is>
          <t>Undertow no-request-timeout（ms）</t>
        </is>
      </c>
      <c r="C42" s="55">
        <f>IF(C$30="—","—",(C$41+$C$14)*1000)</f>
        <v/>
      </c>
      <c r="D42" s="55">
        <f>IF(D$30="—","—",(D$41+$C$14)*1000)</f>
        <v/>
      </c>
      <c r="E42" s="55">
        <f>IF(E$30="—","—",(E$41+$C$14)*1000)</f>
        <v/>
      </c>
      <c r="F42" s="55">
        <f>IF(F$30="—","—",(F$41+$C$14)*1000)</f>
        <v/>
      </c>
      <c r="G42" s="55">
        <f>IF(G$30="—","—",(G$41+$C$14)*1000)</f>
        <v/>
      </c>
      <c r="H42" s="51" t="inlineStr">
        <is>
          <t>（ALB idle＋余裕）×1000</t>
        </is>
      </c>
    </row>
    <row r="43" ht="21" customHeight="1">
      <c r="B43" s="54" t="inlineStr">
        <is>
          <t>ALB 登録解除遅延（秒）</t>
        </is>
      </c>
      <c r="C43" s="55">
        <f>IF(C$30="—","—",MIN(3600,C$32+$C$16))</f>
        <v/>
      </c>
      <c r="D43" s="55">
        <f>IF(D$30="—","—",MIN(3600,D$32+$C$16))</f>
        <v/>
      </c>
      <c r="E43" s="55">
        <f>IF(E$30="—","—",MIN(3600,E$32+$C$16))</f>
        <v/>
      </c>
      <c r="F43" s="55">
        <f>IF(F$30="—","—",MIN(3600,F$32+$C$16))</f>
        <v/>
      </c>
      <c r="G43" s="55">
        <f>IF(G$30="—","—",MIN(3600,G$32+$C$16))</f>
        <v/>
      </c>
      <c r="H43" s="51" t="inlineStr">
        <is>
          <t>期限＋余裕（上限3,600）</t>
        </is>
      </c>
    </row>
    <row r="44" ht="21" customHeight="1">
      <c r="B44" s="54" t="inlineStr">
        <is>
          <t>ECS stopTimeout（秒）</t>
        </is>
      </c>
      <c r="C44" s="55">
        <f>IF(C$30="—","—",MIN(120,MAX(30,ROUND(C$32/2,0))))</f>
        <v/>
      </c>
      <c r="D44" s="55">
        <f>IF(D$30="—","—",MIN(120,MAX(30,ROUND(D$32/2,0))))</f>
        <v/>
      </c>
      <c r="E44" s="55">
        <f>IF(E$30="—","—",MIN(120,MAX(30,ROUND(E$32/2,0))))</f>
        <v/>
      </c>
      <c r="F44" s="55">
        <f>IF(F$30="—","—",MIN(120,MAX(30,ROUND(F$32/2,0))))</f>
        <v/>
      </c>
      <c r="G44" s="55">
        <f>IF(G$30="—","—",MIN(120,MAX(30,ROUND(G$32/2,0))))</f>
        <v/>
      </c>
      <c r="H44" s="51" t="inlineStr">
        <is>
          <t>期限の半分を30〜120秒に収める</t>
        </is>
      </c>
    </row>
    <row r="45" ht="21" customHeight="1">
      <c r="B45" s="54" t="inlineStr">
        <is>
          <t>JTA default-timeout（秒）</t>
        </is>
      </c>
      <c r="C45" s="55">
        <f>C$32</f>
        <v/>
      </c>
      <c r="D45" s="55">
        <f>D$32</f>
        <v/>
      </c>
      <c r="E45" s="55">
        <f>E$32</f>
        <v/>
      </c>
      <c r="F45" s="55">
        <f>F$32</f>
        <v/>
      </c>
      <c r="G45" s="55">
        <f>G$32</f>
        <v/>
      </c>
      <c r="H45" s="51" t="inlineStr">
        <is>
          <t>入力値そのもの</t>
        </is>
      </c>
    </row>
    <row r="46" ht="21" customHeight="1">
      <c r="B46" s="54" t="inlineStr">
        <is>
          <t>blocking-timeout-wait-millis（ms）</t>
        </is>
      </c>
      <c r="C46" s="55">
        <f>IF(C$28="バッチ",30000,MAX(2000,MIN(10000,ROUND(C$32*$C$17,0)*1000)))</f>
        <v/>
      </c>
      <c r="D46" s="55">
        <f>IF(D$28="バッチ",30000,MAX(2000,MIN(10000,ROUND(D$32*$C$17,0)*1000)))</f>
        <v/>
      </c>
      <c r="E46" s="55">
        <f>IF(E$28="バッチ",30000,MAX(2000,MIN(10000,ROUND(E$32*$C$17,0)*1000)))</f>
        <v/>
      </c>
      <c r="F46" s="55">
        <f>IF(F$28="バッチ",30000,MAX(2000,MIN(10000,ROUND(F$32*$C$17,0)*1000)))</f>
        <v/>
      </c>
      <c r="G46" s="55">
        <f>IF(G$28="バッチ",30000,MAX(2000,MIN(10000,ROUND(G$32*$C$17,0)*1000)))</f>
        <v/>
      </c>
      <c r="H46" s="51" t="inlineStr">
        <is>
          <t>期限×割合を2〜10秒に収める（バッチは30秒）</t>
        </is>
      </c>
    </row>
    <row r="47" ht="21" customHeight="1">
      <c r="B47" s="54" t="inlineStr">
        <is>
          <t>query-timeout（秒）</t>
        </is>
      </c>
      <c r="C47" s="55">
        <f>IF(C$28="バッチ",C$33,C$32-5)</f>
        <v/>
      </c>
      <c r="D47" s="55">
        <f>IF(D$28="バッチ",D$33,D$32-5)</f>
        <v/>
      </c>
      <c r="E47" s="55">
        <f>IF(E$28="バッチ",E$33,E$32-5)</f>
        <v/>
      </c>
      <c r="F47" s="55">
        <f>IF(F$28="バッチ",F$33,F$32-5)</f>
        <v/>
      </c>
      <c r="G47" s="55">
        <f>IF(G$28="バッチ",G$33,G$32-5)</f>
        <v/>
      </c>
      <c r="H47" s="51" t="inlineStr">
        <is>
          <t>期限－5秒（バッチは想定SQL時間）</t>
        </is>
      </c>
    </row>
    <row r="48" ht="21" customHeight="1">
      <c r="B48" s="54" t="inlineStr">
        <is>
          <t>MAX_EXECUTION_TIME ヒント（ms）</t>
        </is>
      </c>
      <c r="C48" s="55">
        <f>IF(C$28="バッチ",0,C$47*1000)</f>
        <v/>
      </c>
      <c r="D48" s="55">
        <f>IF(D$28="バッチ",0,D$47*1000)</f>
        <v/>
      </c>
      <c r="E48" s="55">
        <f>IF(E$28="バッチ",0,E$47*1000)</f>
        <v/>
      </c>
      <c r="F48" s="55">
        <f>IF(F$28="バッチ",0,F$47*1000)</f>
        <v/>
      </c>
      <c r="G48" s="55">
        <f>IF(G$28="バッチ",0,G$47*1000)</f>
        <v/>
      </c>
      <c r="H48" s="51" t="inlineStr">
        <is>
          <t>query-timeout×1000（バッチは0＝無制限）</t>
        </is>
      </c>
    </row>
    <row r="49" ht="21" customHeight="1">
      <c r="B49" s="54" t="inlineStr">
        <is>
          <t>socketTimeout（ms）</t>
        </is>
      </c>
      <c r="C49" s="55">
        <f>IF(C$28="バッチ",C$33*2*1000,(C$32+$C$15)*1000)</f>
        <v/>
      </c>
      <c r="D49" s="55">
        <f>IF(D$28="バッチ",D$33*2*1000,(D$32+$C$15)*1000)</f>
        <v/>
      </c>
      <c r="E49" s="55">
        <f>IF(E$28="バッチ",E$33*2*1000,(E$32+$C$15)*1000)</f>
        <v/>
      </c>
      <c r="F49" s="55">
        <f>IF(F$28="バッチ",F$33*2*1000,(F$32+$C$15)*1000)</f>
        <v/>
      </c>
      <c r="G49" s="55">
        <f>IF(G$28="バッチ",G$33*2*1000,(G$32+$C$15)*1000)</f>
        <v/>
      </c>
      <c r="H49" s="51" t="inlineStr">
        <is>
          <t>（期限＋余裕）×1000（バッチは想定SQL×2）</t>
        </is>
      </c>
    </row>
    <row r="50" ht="21" customHeight="1">
      <c r="B50" s="54" t="inlineStr">
        <is>
          <t>connectTimeout（ms）</t>
        </is>
      </c>
      <c r="C50" s="55">
        <f>IF(C$28="バッチ",10000,5000)</f>
        <v/>
      </c>
      <c r="D50" s="55">
        <f>IF(D$28="バッチ",10000,5000)</f>
        <v/>
      </c>
      <c r="E50" s="55">
        <f>IF(E$28="バッチ",10000,5000)</f>
        <v/>
      </c>
      <c r="F50" s="55">
        <f>IF(F$28="バッチ",10000,5000)</f>
        <v/>
      </c>
      <c r="G50" s="55">
        <f>IF(G$28="バッチ",10000,5000)</f>
        <v/>
      </c>
      <c r="H50" s="51" t="inlineStr">
        <is>
          <t>オンライン5秒、バッチ10秒</t>
        </is>
      </c>
    </row>
    <row r="51" ht="36" customHeight="1">
      <c r="B51" s="54" t="inlineStr">
        <is>
          <t>RDS Proxy ConnectionBorrowTimeout（秒）</t>
        </is>
      </c>
      <c r="C51" s="55">
        <f>IF(C$28="バッチ",$C$20,MIN(30,MAX(1,ROUND(_xlfn.MINIFS($C$32:$G$32,$C$31:$G$31,C$31)*$C$18,0))))</f>
        <v/>
      </c>
      <c r="D51" s="55">
        <f>IF(D$28="バッチ",$C$20,MIN(30,MAX(1,ROUND(_xlfn.MINIFS($C$32:$G$32,$C$31:$G$31,D$31)*$C$18,0))))</f>
        <v/>
      </c>
      <c r="E51" s="55">
        <f>IF(E$28="バッチ",$C$20,MIN(30,MAX(1,ROUND(_xlfn.MINIFS($C$32:$G$32,$C$31:$G$31,E$31)*$C$18,0))))</f>
        <v/>
      </c>
      <c r="F51" s="55">
        <f>IF(F$28="バッチ",$C$20,MIN(30,MAX(1,ROUND(_xlfn.MINIFS($C$32:$G$32,$C$31:$G$31,F$31)*$C$18,0))))</f>
        <v/>
      </c>
      <c r="G51" s="55">
        <f>IF(G$28="バッチ",$C$20,MIN(30,MAX(1,ROUND(_xlfn.MINIFS($C$32:$G$32,$C$31:$G$31,G$31)*$C$18,0))))</f>
        <v/>
      </c>
      <c r="H51" s="51" t="inlineStr">
        <is>
          <t>同じ Proxy を使う経路の最短期限×割合（最大30秒）。バッチは固定値</t>
        </is>
      </c>
    </row>
    <row r="52" ht="21" customHeight="1">
      <c r="B52" s="54" t="inlineStr">
        <is>
          <t>RDS Proxy IdleClientTimeout（秒）</t>
        </is>
      </c>
      <c r="C52" s="55">
        <f>IF(C$28="バッチ",$C$23,$C$22)</f>
        <v/>
      </c>
      <c r="D52" s="55">
        <f>IF(D$28="バッチ",$C$23,$C$22)</f>
        <v/>
      </c>
      <c r="E52" s="55">
        <f>IF(E$28="バッチ",$C$23,$C$22)</f>
        <v/>
      </c>
      <c r="F52" s="55">
        <f>IF(F$28="バッチ",$C$23,$C$22)</f>
        <v/>
      </c>
      <c r="G52" s="55">
        <f>IF(G$28="バッチ",$C$23,$C$22)</f>
        <v/>
      </c>
      <c r="H52" s="51" t="inlineStr">
        <is>
          <t>入力値</t>
        </is>
      </c>
    </row>
    <row r="53" ht="21" customHeight="1">
      <c r="B53" s="54" t="inlineStr">
        <is>
          <t>プール idle-timeout-minutes（分）</t>
        </is>
      </c>
      <c r="C53" s="55">
        <f>MIN(10,ROUND(C$52/60/3,0))</f>
        <v/>
      </c>
      <c r="D53" s="55">
        <f>MIN(10,ROUND(D$52/60/3,0))</f>
        <v/>
      </c>
      <c r="E53" s="55">
        <f>MIN(10,ROUND(E$52/60/3,0))</f>
        <v/>
      </c>
      <c r="F53" s="55">
        <f>MIN(10,ROUND(F$52/60/3,0))</f>
        <v/>
      </c>
      <c r="G53" s="55">
        <f>MIN(10,ROUND(G$52/60/3,0))</f>
        <v/>
      </c>
      <c r="H53" s="51" t="inlineStr">
        <is>
          <t>IdleClientTimeout の1/3（最大10分）</t>
        </is>
      </c>
    </row>
    <row r="54" ht="36" customHeight="1">
      <c r="B54" s="54" t="inlineStr">
        <is>
          <t>innodb_lock_wait_timeout（秒・InitQuery）</t>
        </is>
      </c>
      <c r="C54" s="55">
        <f>IF(C$28="バッチ",$C$21,MIN($C$19,MAX(1,ROUND(_xlfn.MINIFS($C$32:$G$32,$C$31:$G$31,C$31)*$C$18,0))))</f>
        <v/>
      </c>
      <c r="D54" s="55">
        <f>IF(D$28="バッチ",$C$21,MIN($C$19,MAX(1,ROUND(_xlfn.MINIFS($C$32:$G$32,$C$31:$G$31,D$31)*$C$18,0))))</f>
        <v/>
      </c>
      <c r="E54" s="55">
        <f>IF(E$28="バッチ",$C$21,MIN($C$19,MAX(1,ROUND(_xlfn.MINIFS($C$32:$G$32,$C$31:$G$31,E$31)*$C$18,0))))</f>
        <v/>
      </c>
      <c r="F54" s="55">
        <f>IF(F$28="バッチ",$C$21,MIN($C$19,MAX(1,ROUND(_xlfn.MINIFS($C$32:$G$32,$C$31:$G$31,F$31)*$C$18,0))))</f>
        <v/>
      </c>
      <c r="G54" s="55">
        <f>IF(G$28="バッチ",$C$21,MIN($C$19,MAX(1,ROUND(_xlfn.MINIFS($C$32:$G$32,$C$31:$G$31,G$31)*$C$18,0))))</f>
        <v/>
      </c>
      <c r="H54" s="51" t="inlineStr">
        <is>
          <t>min（上限, 最短期限×割合）。バッチは固定値</t>
        </is>
      </c>
    </row>
    <row r="55" ht="10" customHeight="1"/>
    <row r="56" ht="24" customHeight="1">
      <c r="B56" s="5" t="inlineStr">
        <is>
          <t xml:space="preserve">　④ 整合性チェック（外側 ＞ 内側 になっているか）</t>
        </is>
      </c>
    </row>
    <row r="57" ht="4" customHeight="1"/>
    <row r="58" ht="22" customHeight="1">
      <c r="B58" s="6" t="inlineStr">
        <is>
          <t>チェック内容</t>
        </is>
      </c>
      <c r="C58" s="6" t="inlineStr">
        <is>
          <t>インターネットAPI</t>
        </is>
      </c>
      <c r="D58" s="6" t="inlineStr">
        <is>
          <t>Salesforce API</t>
        </is>
      </c>
      <c r="E58" s="6" t="inlineStr">
        <is>
          <t>イントラAPI（最重）</t>
        </is>
      </c>
      <c r="F58" s="6" t="inlineStr">
        <is>
          <t>イントラ画面</t>
        </is>
      </c>
      <c r="G58" s="6" t="inlineStr">
        <is>
          <t>バッチ</t>
        </is>
      </c>
      <c r="H58" s="6" t="inlineStr">
        <is>
          <t>見方</t>
        </is>
      </c>
    </row>
    <row r="59" ht="21" customHeight="1">
      <c r="B59" s="49" t="inlineStr">
        <is>
          <t>呼出元 ＞ API Gateway</t>
        </is>
      </c>
      <c r="C59" s="56">
        <f>IF(C$29&lt;&gt;1,"—",IF(C$38&gt;C$40,"OK","NG"))</f>
        <v/>
      </c>
      <c r="D59" s="56">
        <f>IF(D$29&lt;&gt;1,"—",IF(D$38&gt;D$40,"OK","NG"))</f>
        <v/>
      </c>
      <c r="E59" s="56">
        <f>IF(E$29&lt;&gt;1,"—",IF(E$38&gt;E$40,"OK","NG"))</f>
        <v/>
      </c>
      <c r="F59" s="56">
        <f>IF(F$29&lt;&gt;1,"—",IF(F$38&gt;F$40,"OK","NG"))</f>
        <v/>
      </c>
      <c r="G59" s="56">
        <f>IF(G$29&lt;&gt;1,"—",IF(G$38&gt;G$40,"OK","NG"))</f>
        <v/>
      </c>
      <c r="H59" s="57" t="inlineStr">
        <is>
          <t>NG は黒地に白文字で表示</t>
        </is>
      </c>
    </row>
    <row r="60" ht="21" customHeight="1">
      <c r="B60" s="49" t="inlineStr">
        <is>
          <t>API Gateway ＞ アプリ期限（上限内に収まる）</t>
        </is>
      </c>
      <c r="C60" s="56">
        <f>IF(C$29&lt;&gt;1,"—",IF(AND(C$40&gt;C$32,C$32+$C$10&lt;=$C$9),"OK","NG：P3（延長）かP4（非同期）へ"))</f>
        <v/>
      </c>
      <c r="D60" s="56">
        <f>IF(D$29&lt;&gt;1,"—",IF(AND(D$40&gt;D$32,D$32+$C$10&lt;=$C$9),"OK","NG：P3（延長）かP4（非同期）へ"))</f>
        <v/>
      </c>
      <c r="E60" s="56">
        <f>IF(E$29&lt;&gt;1,"—",IF(AND(E$40&gt;E$32,E$32+$C$10&lt;=$C$9),"OK","NG：P3（延長）かP4（非同期）へ"))</f>
        <v/>
      </c>
      <c r="F60" s="56">
        <f>IF(F$29&lt;&gt;1,"—",IF(AND(F$40&gt;F$32,F$32+$C$10&lt;=$C$9),"OK","NG：P3（延長）かP4（非同期）へ"))</f>
        <v/>
      </c>
      <c r="G60" s="56">
        <f>IF(G$29&lt;&gt;1,"—",IF(AND(G$40&gt;G$32,G$32+$C$10&lt;=$C$9),"OK","NG：P3（延長）かP4（非同期）へ"))</f>
        <v/>
      </c>
      <c r="H60" s="57" t="inlineStr">
        <is>
          <t>NG は黒地に白文字で表示</t>
        </is>
      </c>
    </row>
    <row r="61" ht="21" customHeight="1">
      <c r="B61" s="49" t="inlineStr">
        <is>
          <t>ALB idle ＞ アプリ期限</t>
        </is>
      </c>
      <c r="C61" s="56">
        <f>IF(C$30="—","—",IF(C$41&gt;C$32,"OK","NG"))</f>
        <v/>
      </c>
      <c r="D61" s="56">
        <f>IF(D$30="—","—",IF(D$41&gt;D$32,"OK","NG"))</f>
        <v/>
      </c>
      <c r="E61" s="56">
        <f>IF(E$30="—","—",IF(E$41&gt;E$32,"OK","NG"))</f>
        <v/>
      </c>
      <c r="F61" s="56">
        <f>IF(F$30="—","—",IF(F$41&gt;F$32,"OK","NG"))</f>
        <v/>
      </c>
      <c r="G61" s="56">
        <f>IF(G$30="—","—",IF(G$41&gt;G$32,"OK","NG"))</f>
        <v/>
      </c>
      <c r="H61" s="57" t="inlineStr">
        <is>
          <t>NG は黒地に白文字で表示</t>
        </is>
      </c>
    </row>
    <row r="62" ht="21" customHeight="1">
      <c r="B62" s="49" t="inlineStr">
        <is>
          <t>Undertow ＞ ALB idle</t>
        </is>
      </c>
      <c r="C62" s="56">
        <f>IF(C$30="—","—",IF(C$42/1000&gt;C$41,"OK","NG"))</f>
        <v/>
      </c>
      <c r="D62" s="56">
        <f>IF(D$30="—","—",IF(D$42/1000&gt;D$41,"OK","NG"))</f>
        <v/>
      </c>
      <c r="E62" s="56">
        <f>IF(E$30="—","—",IF(E$42/1000&gt;E$41,"OK","NG"))</f>
        <v/>
      </c>
      <c r="F62" s="56">
        <f>IF(F$30="—","—",IF(F$42/1000&gt;F$41,"OK","NG"))</f>
        <v/>
      </c>
      <c r="G62" s="56">
        <f>IF(G$30="—","—",IF(G$42/1000&gt;G$41,"OK","NG"))</f>
        <v/>
      </c>
      <c r="H62" s="57" t="inlineStr">
        <is>
          <t>NG は黒地に白文字で表示</t>
        </is>
      </c>
    </row>
    <row r="63" ht="21" customHeight="1">
      <c r="B63" s="49" t="inlineStr">
        <is>
          <t>アプリ期限 ＞ プール待ち＋借用待ち</t>
        </is>
      </c>
      <c r="C63" s="56">
        <f>IF(C$28="バッチ","—",IF(C$32&gt;C$46/1000+C$51,"OK","NG"))</f>
        <v/>
      </c>
      <c r="D63" s="56">
        <f>IF(D$28="バッチ","—",IF(D$32&gt;D$46/1000+D$51,"OK","NG"))</f>
        <v/>
      </c>
      <c r="E63" s="56">
        <f>IF(E$28="バッチ","—",IF(E$32&gt;E$46/1000+E$51,"OK","NG"))</f>
        <v/>
      </c>
      <c r="F63" s="56">
        <f>IF(F$28="バッチ","—",IF(F$32&gt;F$46/1000+F$51,"OK","NG"))</f>
        <v/>
      </c>
      <c r="G63" s="56">
        <f>IF(G$28="バッチ","—",IF(G$32&gt;G$46/1000+G$51,"OK","NG"))</f>
        <v/>
      </c>
      <c r="H63" s="57" t="inlineStr">
        <is>
          <t>NG は黒地に白文字で表示</t>
        </is>
      </c>
    </row>
    <row r="64" ht="36" customHeight="1">
      <c r="B64" s="49" t="inlineStr">
        <is>
          <t>socketTimeout ＞ アプリ期限（バッチは想定SQL）</t>
        </is>
      </c>
      <c r="C64" s="56">
        <f>IF(C$28="バッチ",IF(C$49/1000&gt;C$33,"OK","NG"),IF(C$49/1000&gt;C$32,"OK","NG"))</f>
        <v/>
      </c>
      <c r="D64" s="56">
        <f>IF(D$28="バッチ",IF(D$49/1000&gt;D$33,"OK","NG"),IF(D$49/1000&gt;D$32,"OK","NG"))</f>
        <v/>
      </c>
      <c r="E64" s="56">
        <f>IF(E$28="バッチ",IF(E$49/1000&gt;E$33,"OK","NG"),IF(E$49/1000&gt;E$32,"OK","NG"))</f>
        <v/>
      </c>
      <c r="F64" s="56">
        <f>IF(F$28="バッチ",IF(F$49/1000&gt;F$33,"OK","NG"),IF(F$49/1000&gt;F$32,"OK","NG"))</f>
        <v/>
      </c>
      <c r="G64" s="56">
        <f>IF(G$28="バッチ",IF(G$49/1000&gt;G$33,"OK","NG"),IF(G$49/1000&gt;G$32,"OK","NG"))</f>
        <v/>
      </c>
      <c r="H64" s="57" t="inlineStr">
        <is>
          <t>NG は黒地に白文字で表示</t>
        </is>
      </c>
    </row>
    <row r="65" ht="21" customHeight="1">
      <c r="B65" s="49" t="inlineStr">
        <is>
          <t>ロック待ち ＜ アプリ期限</t>
        </is>
      </c>
      <c r="C65" s="56">
        <f>IF(C$28="バッチ","—",IF(C$54&lt;C$32,"OK","NG"))</f>
        <v/>
      </c>
      <c r="D65" s="56">
        <f>IF(D$28="バッチ","—",IF(D$54&lt;D$32,"OK","NG"))</f>
        <v/>
      </c>
      <c r="E65" s="56">
        <f>IF(E$28="バッチ","—",IF(E$54&lt;E$32,"OK","NG"))</f>
        <v/>
      </c>
      <c r="F65" s="56">
        <f>IF(F$28="バッチ","—",IF(F$54&lt;F$32,"OK","NG"))</f>
        <v/>
      </c>
      <c r="G65" s="56">
        <f>IF(G$28="バッチ","—",IF(G$54&lt;G$32,"OK","NG"))</f>
        <v/>
      </c>
      <c r="H65" s="57" t="inlineStr">
        <is>
          <t>NG は黒地に白文字で表示</t>
        </is>
      </c>
    </row>
    <row r="66" ht="21" customHeight="1">
      <c r="B66" s="49" t="inlineStr">
        <is>
          <t>プール idle ＜ IdleClientTimeout</t>
        </is>
      </c>
      <c r="C66" s="56">
        <f>IF(C$53*60&lt;C$52,"OK","NG")</f>
        <v/>
      </c>
      <c r="D66" s="56">
        <f>IF(D$53*60&lt;D$52,"OK","NG")</f>
        <v/>
      </c>
      <c r="E66" s="56">
        <f>IF(E$53*60&lt;E$52,"OK","NG")</f>
        <v/>
      </c>
      <c r="F66" s="56">
        <f>IF(F$53*60&lt;F$52,"OK","NG")</f>
        <v/>
      </c>
      <c r="G66" s="56">
        <f>IF(G$53*60&lt;G$52,"OK","NG")</f>
        <v/>
      </c>
      <c r="H66" s="57" t="inlineStr">
        <is>
          <t>NG は黒地に白文字で表示</t>
        </is>
      </c>
    </row>
    <row r="67" ht="21" customHeight="1">
      <c r="B67" s="49" t="inlineStr">
        <is>
          <t>登録解除遅延 ≧ アプリ期限</t>
        </is>
      </c>
      <c r="C67" s="56">
        <f>IF(C$30="—","—",IF(C$43&gt;=C$32,"OK","NG"))</f>
        <v/>
      </c>
      <c r="D67" s="56">
        <f>IF(D$30="—","—",IF(D$43&gt;=D$32,"OK","NG"))</f>
        <v/>
      </c>
      <c r="E67" s="56">
        <f>IF(E$30="—","—",IF(E$43&gt;=E$32,"OK","NG"))</f>
        <v/>
      </c>
      <c r="F67" s="56">
        <f>IF(F$30="—","—",IF(F$43&gt;=F$32,"OK","NG"))</f>
        <v/>
      </c>
      <c r="G67" s="56">
        <f>IF(G$30="—","—",IF(G$43&gt;=G$32,"OK","NG"))</f>
        <v/>
      </c>
      <c r="H67" s="57" t="inlineStr">
        <is>
          <t>NG は黒地に白文字で表示</t>
        </is>
      </c>
    </row>
    <row r="68" ht="21" customHeight="1">
      <c r="B68" s="49" t="inlineStr">
        <is>
          <t>コールアウト ≦ 120秒（Salesforce の上限）</t>
        </is>
      </c>
      <c r="C68" s="56">
        <f>IF(C$29&lt;&gt;1,"—",IF(C$39&lt;=120000,"OK","NG"))</f>
        <v/>
      </c>
      <c r="D68" s="56">
        <f>IF(D$29&lt;&gt;1,"—",IF(D$39&lt;=120000,"OK","NG"))</f>
        <v/>
      </c>
      <c r="E68" s="56">
        <f>IF(E$29&lt;&gt;1,"—",IF(E$39&lt;=120000,"OK","NG"))</f>
        <v/>
      </c>
      <c r="F68" s="56">
        <f>IF(F$29&lt;&gt;1,"—",IF(F$39&lt;=120000,"OK","NG"))</f>
        <v/>
      </c>
      <c r="G68" s="56">
        <f>IF(G$29&lt;&gt;1,"—",IF(G$39&lt;=120000,"OK","NG"))</f>
        <v/>
      </c>
      <c r="H68" s="57" t="inlineStr">
        <is>
          <t>NG は黒地に白文字で表示</t>
        </is>
      </c>
    </row>
    <row r="69" ht="26" customHeight="1">
      <c r="B69" s="58" t="inlineStr">
        <is>
          <t>総合判定</t>
        </is>
      </c>
      <c r="C69" s="59">
        <f>IF(COUNTIF(C59:G68,"NG*")&gt;0,"要見直し（NG の行を確認）","OK（すべての順序が正しい）")</f>
        <v/>
      </c>
      <c r="D69" s="60" t="n"/>
      <c r="E69" s="60" t="n"/>
      <c r="F69" s="60" t="n"/>
      <c r="G69" s="61" t="n"/>
      <c r="H69" s="51" t="inlineStr">
        <is>
          <t>入力を変えたら、ここが OK になるまで調整する</t>
        </is>
      </c>
    </row>
    <row r="70" ht="4" customHeight="1"/>
    <row r="71" ht="42" customHeight="1">
      <c r="B71" s="15" t="inlineStr">
        <is>
          <r>
            <rPr>
              <rFont val="Meiryo UI"/>
              <b val="1"/>
              <sz val="10"/>
            </rPr>
            <t xml:space="preserve">【使い方】 </t>
          </r>
          <r>
            <rPr>
              <rFont val="Meiryo UI"/>
              <sz val="10"/>
            </rPr>
            <t>例）イントラAPIの期限を180秒にすると ALB-2 は210秒、呼出元は220秒…と外側が自動で伸びる。外部APIの期限を30秒にすると「API Gateway ＞ アプリ期限」が NG になり、P3（API Gateway 延長）か P4（非同期）が必要だと分かる。ALB を全部 ALB-1 にすれば P1（共有型）の値を確認できる。</t>
          </r>
        </is>
      </c>
      <c r="C71" s="16" t="n"/>
      <c r="D71" s="16" t="n"/>
      <c r="E71" s="16" t="n"/>
      <c r="F71" s="16" t="n"/>
      <c r="G71" s="16" t="n"/>
      <c r="H71" s="17" t="n"/>
    </row>
  </sheetData>
  <mergeCells count="25">
    <mergeCell ref="D20:H20"/>
    <mergeCell ref="D10:H10"/>
    <mergeCell ref="D19:H19"/>
    <mergeCell ref="B6:H6"/>
    <mergeCell ref="D22:H22"/>
    <mergeCell ref="D21:H21"/>
    <mergeCell ref="C2:H2"/>
    <mergeCell ref="B35:H35"/>
    <mergeCell ref="B4:H4"/>
    <mergeCell ref="D11:H11"/>
    <mergeCell ref="D13:H13"/>
    <mergeCell ref="B25:H25"/>
    <mergeCell ref="D17:H17"/>
    <mergeCell ref="D16:H16"/>
    <mergeCell ref="B56:H56"/>
    <mergeCell ref="B71:H71"/>
    <mergeCell ref="D18:H18"/>
    <mergeCell ref="D9:H9"/>
    <mergeCell ref="D12:H12"/>
    <mergeCell ref="D8:H8"/>
    <mergeCell ref="D15:H15"/>
    <mergeCell ref="B1:H1"/>
    <mergeCell ref="D23:H23"/>
    <mergeCell ref="D14:H14"/>
    <mergeCell ref="C69:G69"/>
  </mergeCells>
  <conditionalFormatting sqref="C59:G68">
    <cfRule type="containsText" priority="1" operator="containsText" dxfId="0" text="NG">
      <formula>NOT(ISERROR(SEARCH("NG",C59)))</formula>
    </cfRule>
  </conditionalFormatting>
  <conditionalFormatting sqref="C69:G69">
    <cfRule type="containsText" priority="2" operator="containsText" dxfId="0" text="要見直し">
      <formula>NOT(ISERROR(SEARCH("要見直し",C69)))</formula>
    </cfRule>
  </conditionalFormatting>
  <dataValidations count="2">
    <dataValidation sqref="C28:G28" showDropDown="0" showInputMessage="0" showErrorMessage="0" allowBlank="0" type="list">
      <formula1>"API,画面,バッチ"</formula1>
    </dataValidation>
    <dataValidation sqref="C29:G29" showDropDown="0" showInputMessage="0" showErrorMessage="0" allowBlank="0" type="list">
      <formula1>"1,0"</formula1>
    </dataValidation>
  </dataValidation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3.xml><?xml version="1.0" encoding="utf-8"?>
<worksheet xmlns="http://schemas.openxmlformats.org/spreadsheetml/2006/main">
  <sheetPr>
    <tabColor rgb="00A6A6A6"/>
    <outlinePr summaryBelow="1" summaryRight="1"/>
    <pageSetUpPr fitToPage="1"/>
  </sheetPr>
  <dimension ref="A1:B177"/>
  <sheetViews>
    <sheetView showGridLines="0" zoomScale="100" workbookViewId="0">
      <selection activeCell="A1" sqref="A1"/>
    </sheetView>
  </sheetViews>
  <sheetFormatPr baseColWidth="8" defaultRowHeight="15"/>
  <cols>
    <col width="2" customWidth="1" min="1" max="1"/>
    <col width="150" customWidth="1" min="2" max="2"/>
  </cols>
  <sheetData>
    <row r="1" ht="36" customHeight="1">
      <c r="B1" s="1" t="inlineStr">
        <is>
          <t>設定例（JBoss EAP 8.1／Java／Salesforce／AWS CLI／バッチ）</t>
        </is>
      </c>
    </row>
    <row r="2" ht="18" customHeight="1">
      <c r="B2" s="20" t="inlineStr">
        <is>
          <t>« 00_表紙（目次）へ戻る</t>
        </is>
      </c>
    </row>
    <row r="3" ht="6" customHeight="1"/>
    <row r="4" ht="21" customHeight="1">
      <c r="B4" s="4" t="inlineStr">
        <is>
          <t>P2（推奨）の値を設定する例です。ホスト名・ARN などは環境に合わせて置き換えてください。設定後は必ず「既定値を含めた読み出し」で実際の値を確認します。</t>
        </is>
      </c>
    </row>
    <row r="5" ht="10" customHeight="1"/>
    <row r="6" ht="24" customHeight="1">
      <c r="B6" s="5" t="inlineStr">
        <is>
          <t xml:space="preserve">　JBoss EAP 8.1：管理CLI（jboss-cli.sh）</t>
        </is>
      </c>
    </row>
    <row r="7" ht="4" customHeight="1"/>
    <row r="8" ht="5" customHeight="1">
      <c r="B8" s="26" t="n"/>
    </row>
    <row r="9" ht="15.5" customHeight="1">
      <c r="B9" s="27" t="inlineStr">
        <is>
          <t># ===== ECSサービスA（インターネットAPI＋Salesforce API）の例 =====</t>
        </is>
      </c>
    </row>
    <row r="10" ht="15.5" customHeight="1">
      <c r="B10" s="27" t="inlineStr">
        <is>
          <t># Undertow：keep-alive のアイドルを ALB-1 の idle（60秒）より長く</t>
        </is>
      </c>
    </row>
    <row r="11" ht="15.5" customHeight="1">
      <c r="B11" s="27" t="inlineStr">
        <is>
          <t>/subsystem=undertow/server=default-server/http-listener=default:write-attribute(name=no-request-timeout,value=75000)</t>
        </is>
      </c>
    </row>
    <row r="12" ht="15.5" customHeight="1">
      <c r="B12" s="27" t="n"/>
    </row>
    <row r="13" ht="15.5" customHeight="1">
      <c r="B13" s="27" t="inlineStr">
        <is>
          <t># JTA：このサーバの既定のアプリ期限を25秒に</t>
        </is>
      </c>
    </row>
    <row r="14" ht="15.5" customHeight="1">
      <c r="B14" s="27" t="inlineStr">
        <is>
          <t>/subsystem=transactions:write-attribute(name=default-timeout,value=25)</t>
        </is>
      </c>
    </row>
    <row r="15" ht="15.5" customHeight="1">
      <c r="B15" s="27" t="n"/>
    </row>
    <row r="16" ht="15.5" customHeight="1">
      <c r="B16" s="27" t="inlineStr">
        <is>
          <t># データソースのタイムアウト（DB-A 用 XA データソース）</t>
        </is>
      </c>
    </row>
    <row r="17" ht="15.5" customHeight="1">
      <c r="B17" s="27" t="inlineStr">
        <is>
          <t>/subsystem=datasources/xa-data-source=DbaXA:write-attribute(name=blocking-timeout-wait-millis,value=3000)</t>
        </is>
      </c>
    </row>
    <row r="18" ht="15.5" customHeight="1">
      <c r="B18" s="27" t="inlineStr">
        <is>
          <t>/subsystem=datasources/xa-data-source=DbaXA:write-attribute(name=idle-timeout-minutes,value=10)</t>
        </is>
      </c>
    </row>
    <row r="19" ht="15.5" customHeight="1">
      <c r="B19" s="27" t="inlineStr">
        <is>
          <t>/subsystem=datasources/xa-data-source=DbaXA:write-attribute(name=set-tx-query-timeout,value=true)</t>
        </is>
      </c>
    </row>
    <row r="20" ht="15.5" customHeight="1">
      <c r="B20" s="27" t="inlineStr">
        <is>
          <t>/subsystem=datasources/xa-data-source=DbaXA:write-attribute(name=query-timeout,value=20)</t>
        </is>
      </c>
    </row>
    <row r="21" ht="15.5" customHeight="1">
      <c r="B21" s="27" t="inlineStr">
        <is>
          <t>/subsystem=datasources/xa-data-source=DbaXA:write-attribute(name=validate-on-match,value=true)</t>
        </is>
      </c>
    </row>
    <row r="22" ht="15.5" customHeight="1">
      <c r="B22" s="27" t="n"/>
    </row>
    <row r="23" ht="15.5" customHeight="1">
      <c r="B23" s="27" t="inlineStr">
        <is>
          <t># 設定の確認（既定値も含めて表示）</t>
        </is>
      </c>
    </row>
    <row r="24" ht="15.5" customHeight="1">
      <c r="B24" s="27" t="inlineStr">
        <is>
          <t>/subsystem=undertow/server=default-server/http-listener=default:read-resource(include-defaults=true)</t>
        </is>
      </c>
    </row>
    <row r="25" ht="15.5" customHeight="1">
      <c r="B25" s="27" t="inlineStr">
        <is>
          <t>/subsystem=transactions:read-attribute(name=default-timeout)</t>
        </is>
      </c>
    </row>
    <row r="26" ht="15.5" customHeight="1">
      <c r="B26" s="27" t="inlineStr">
        <is>
          <t>:reload</t>
        </is>
      </c>
    </row>
    <row r="27" ht="5" customHeight="1">
      <c r="B27" s="26" t="n"/>
    </row>
    <row r="28" ht="10" customHeight="1"/>
    <row r="29" ht="24" customHeight="1">
      <c r="B29" s="5" t="inlineStr">
        <is>
          <t xml:space="preserve">　JBoss EAP 8.1：XA データソース（standalone.xml の抜粋）</t>
        </is>
      </c>
    </row>
    <row r="30" ht="4" customHeight="1"/>
    <row r="31" ht="5" customHeight="1">
      <c r="B31" s="26" t="n"/>
    </row>
    <row r="32" ht="15.5" customHeight="1">
      <c r="B32" s="27" t="inlineStr">
        <is>
          <t>&lt;!-- DB-A 用 XA データソース（ECSサービスA）。DB-B も同様に作る --&gt;</t>
        </is>
      </c>
    </row>
    <row r="33" ht="15.5" customHeight="1">
      <c r="B33" s="27" t="inlineStr">
        <is>
          <t>&lt;xa-datasource jndi-name="java:jboss/datasources/DbaXA" pool-name="DbaXA" statistics-enabled="true"&gt;</t>
        </is>
      </c>
    </row>
    <row r="34" ht="42.5" customHeight="1">
      <c r="B34" s="27" t="inlineStr">
        <is>
          <t xml:space="preserve">  &lt;xa-datasource-property name="URL"&gt;jdbc:mysql://proxy-dba-online.proxy-xxxx.ap-northeast-1.rds.amazonaws.com:3306/dba?connectTimeout=5000&amp;amp;socketTimeout=35000&amp;amp;tcpKeepAlive=true&amp;amp;useServerPrepStmts=false&amp;amp;pinGlobalTxToPhysicalConnection=true&amp;amp;sslMode=REQUIRED&lt;/xa-datasource-property&gt;</t>
        </is>
      </c>
    </row>
    <row r="35" ht="15.5" customHeight="1">
      <c r="B35" s="27" t="inlineStr">
        <is>
          <t xml:space="preserve">  &lt;driver&gt;mysql&lt;/driver&gt;</t>
        </is>
      </c>
    </row>
    <row r="36" ht="15.5" customHeight="1">
      <c r="B36" s="27" t="inlineStr">
        <is>
          <t xml:space="preserve">  &lt;xa-pool&gt;</t>
        </is>
      </c>
    </row>
    <row r="37" ht="15.5" customHeight="1">
      <c r="B37" s="27" t="inlineStr">
        <is>
          <t xml:space="preserve">    &lt;min-pool-size&gt;5&lt;/min-pool-size&gt;</t>
        </is>
      </c>
    </row>
    <row r="38" ht="15.5" customHeight="1">
      <c r="B38" s="27" t="inlineStr">
        <is>
          <t xml:space="preserve">    &lt;max-pool-size&gt;40&lt;/max-pool-size&gt;</t>
        </is>
      </c>
    </row>
    <row r="39" ht="15.5" customHeight="1">
      <c r="B39" s="27" t="inlineStr">
        <is>
          <t xml:space="preserve">    &lt;prefill&gt;true&lt;/prefill&gt;</t>
        </is>
      </c>
    </row>
    <row r="40" ht="15.5" customHeight="1">
      <c r="B40" s="27" t="inlineStr">
        <is>
          <t xml:space="preserve">  &lt;/xa-pool&gt;</t>
        </is>
      </c>
    </row>
    <row r="41" ht="15.5" customHeight="1">
      <c r="B41" s="27" t="inlineStr">
        <is>
          <t xml:space="preserve">  &lt;validation&gt;</t>
        </is>
      </c>
    </row>
    <row r="42" ht="15.5" customHeight="1">
      <c r="B42" s="27" t="inlineStr">
        <is>
          <t xml:space="preserve">    &lt;valid-connection-checker class-name="org.jboss.jca.adapters.jdbc.extensions.mysql.MySQLValidConnectionChecker"/&gt;</t>
        </is>
      </c>
    </row>
    <row r="43" ht="15.5" customHeight="1">
      <c r="B43" s="27" t="inlineStr">
        <is>
          <t xml:space="preserve">    &lt;validate-on-match&gt;true&lt;/validate-on-match&gt;</t>
        </is>
      </c>
    </row>
    <row r="44" ht="15.5" customHeight="1">
      <c r="B44" s="27" t="inlineStr">
        <is>
          <t xml:space="preserve">    &lt;background-validation&gt;false&lt;/background-validation&gt;</t>
        </is>
      </c>
    </row>
    <row r="45" ht="15.5" customHeight="1">
      <c r="B45" s="27" t="inlineStr">
        <is>
          <t xml:space="preserve">    &lt;exception-sorter class-name="org.jboss.jca.adapters.jdbc.extensions.mysql.MySQLExceptionSorter"/&gt;</t>
        </is>
      </c>
    </row>
    <row r="46" ht="15.5" customHeight="1">
      <c r="B46" s="27" t="inlineStr">
        <is>
          <t xml:space="preserve">  &lt;/validation&gt;</t>
        </is>
      </c>
    </row>
    <row r="47" ht="15.5" customHeight="1">
      <c r="B47" s="27" t="inlineStr">
        <is>
          <t xml:space="preserve">  &lt;timeout&gt;</t>
        </is>
      </c>
    </row>
    <row r="48" ht="15.5" customHeight="1">
      <c r="B48" s="27" t="inlineStr">
        <is>
          <t xml:space="preserve">    &lt;set-tx-query-timeout&gt;true&lt;/set-tx-query-timeout&gt;</t>
        </is>
      </c>
    </row>
    <row r="49" ht="15.5" customHeight="1">
      <c r="B49" s="27" t="inlineStr">
        <is>
          <t xml:space="preserve">    &lt;blocking-timeout-millis&gt;3000&lt;/blocking-timeout-millis&gt;</t>
        </is>
      </c>
    </row>
    <row r="50" ht="15.5" customHeight="1">
      <c r="B50" s="27" t="inlineStr">
        <is>
          <t xml:space="preserve">    &lt;idle-timeout-minutes&gt;10&lt;/idle-timeout-minutes&gt;</t>
        </is>
      </c>
    </row>
    <row r="51" ht="15.5" customHeight="1">
      <c r="B51" s="27" t="inlineStr">
        <is>
          <t xml:space="preserve">    &lt;query-timeout&gt;20&lt;/query-timeout&gt;</t>
        </is>
      </c>
    </row>
    <row r="52" ht="15.5" customHeight="1">
      <c r="B52" s="27" t="inlineStr">
        <is>
          <t xml:space="preserve">    &lt;xa-resource-timeout&gt;0&lt;/xa-resource-timeout&gt;</t>
        </is>
      </c>
    </row>
    <row r="53" ht="15.5" customHeight="1">
      <c r="B53" s="27" t="inlineStr">
        <is>
          <t xml:space="preserve">  &lt;/timeout&gt;</t>
        </is>
      </c>
    </row>
    <row r="54" ht="15.5" customHeight="1">
      <c r="B54" s="27" t="inlineStr">
        <is>
          <t>&lt;/xa-datasource&gt;</t>
        </is>
      </c>
    </row>
    <row r="55" ht="15.5" customHeight="1">
      <c r="B55" s="27" t="inlineStr">
        <is>
          <t>&lt;!-- ドライバ定義：&lt;driver name="mysql" module="com.mysql"&gt;&lt;xa-datasource-class&gt;com.mysql.cj.jdbc.MysqlXADataSource&lt;/xa-datasource-class&gt;&lt;/driver&gt; --&gt;</t>
        </is>
      </c>
    </row>
    <row r="56" ht="5" customHeight="1">
      <c r="B56" s="26" t="n"/>
    </row>
    <row r="57" ht="4" customHeight="1"/>
    <row r="58" ht="42" customHeight="1">
      <c r="B58" s="15" t="inlineStr">
        <is>
          <r>
            <rPr>
              <rFont val="Meiryo UI"/>
              <b val="1"/>
              <sz val="10"/>
            </rPr>
            <t xml:space="preserve">【注意】 </t>
          </r>
          <r>
            <rPr>
              <rFont val="Meiryo UI"/>
              <sz val="10"/>
            </rPr>
            <t>JBoss の XML では blocking-timeout-millis、CLI の属性名では blocking-timeout-wait-millis と名前が違う。ECS で XA を使う場合は、トランザクションログ（ObjectStore）を永続化し、タスクごとに一意な node-identifier を設定する。</t>
          </r>
        </is>
      </c>
    </row>
    <row r="59" ht="10" customHeight="1"/>
    <row r="60" ht="24" customHeight="1">
      <c r="B60" s="5" t="inlineStr">
        <is>
          <t xml:space="preserve">　Java：経路・メソッドごとの期限</t>
        </is>
      </c>
    </row>
    <row r="61" ht="4" customHeight="1"/>
    <row r="62" ht="5" customHeight="1">
      <c r="B62" s="26" t="n"/>
    </row>
    <row r="63" ht="15.5" customHeight="1">
      <c r="B63" s="27" t="inlineStr">
        <is>
          <t>// ① EJB：重いイントラAPIのメソッドだけ期限を延ばす（P1 のように1サービスを共有する場合）</t>
        </is>
      </c>
    </row>
    <row r="64" ht="15.5" customHeight="1">
      <c r="B64" s="27" t="inlineStr">
        <is>
          <t>import org.jboss.ejb3.annotation.TransactionTimeout;</t>
        </is>
      </c>
    </row>
    <row r="65" ht="15.5" customHeight="1">
      <c r="B65" s="27" t="inlineStr">
        <is>
          <t>import java.util.concurrent.TimeUnit;</t>
        </is>
      </c>
    </row>
    <row r="66" ht="15.5" customHeight="1">
      <c r="B66" s="27" t="n"/>
    </row>
    <row r="67" ht="15.5" customHeight="1">
      <c r="B67" s="27" t="inlineStr">
        <is>
          <t>@Stateless</t>
        </is>
      </c>
    </row>
    <row r="68" ht="15.5" customHeight="1">
      <c r="B68" s="27" t="inlineStr">
        <is>
          <t>public class HeavyReportService {</t>
        </is>
      </c>
    </row>
    <row r="69" ht="15.5" customHeight="1">
      <c r="B69" s="27" t="inlineStr">
        <is>
          <t xml:space="preserve">    @TransactionTimeout(value = 60, unit = TimeUnit.SECONDS)</t>
        </is>
      </c>
    </row>
    <row r="70" ht="15.5" customHeight="1">
      <c r="B70" s="27" t="inlineStr">
        <is>
          <t xml:space="preserve">    public Report build(ReportRequest req) { /* ... */ }</t>
        </is>
      </c>
    </row>
    <row r="71" ht="15.5" customHeight="1">
      <c r="B71" s="27" t="inlineStr">
        <is>
          <t>}</t>
        </is>
      </c>
    </row>
    <row r="72" ht="15.5" customHeight="1">
      <c r="B72" s="27" t="n"/>
    </row>
    <row r="73" ht="15.5" customHeight="1">
      <c r="B73" s="27" t="inlineStr">
        <is>
          <t>// ② UserTransaction：begin() の前に期限を設定する</t>
        </is>
      </c>
    </row>
    <row r="74" ht="15.5" customHeight="1">
      <c r="B74" s="27" t="inlineStr">
        <is>
          <t>@Resource UserTransaction utx;</t>
        </is>
      </c>
    </row>
    <row r="75" ht="15.5" customHeight="1">
      <c r="B75" s="27" t="inlineStr">
        <is>
          <t>public void register(Order o) throws Exception {</t>
        </is>
      </c>
    </row>
    <row r="76" ht="15.5" customHeight="1">
      <c r="B76" s="27" t="inlineStr">
        <is>
          <t xml:space="preserve">    utx.setTransactionTimeout(25);   // 秒。0 で既定値に戻る</t>
        </is>
      </c>
    </row>
    <row r="77" ht="15.5" customHeight="1">
      <c r="B77" s="27" t="inlineStr">
        <is>
          <t xml:space="preserve">    utx.begin();</t>
        </is>
      </c>
    </row>
    <row r="78" ht="15.5" customHeight="1">
      <c r="B78" s="27" t="inlineStr">
        <is>
          <t xml:space="preserve">    try { /* DB-A と DB-B を更新 */ utx.commit(); }</t>
        </is>
      </c>
    </row>
    <row r="79" ht="15.5" customHeight="1">
      <c r="B79" s="27" t="inlineStr">
        <is>
          <t xml:space="preserve">    catch (Exception e) { utx.rollback(); throw e; }</t>
        </is>
      </c>
    </row>
    <row r="80" ht="15.5" customHeight="1">
      <c r="B80" s="27" t="inlineStr">
        <is>
          <t>}</t>
        </is>
      </c>
    </row>
    <row r="81" ht="15.5" customHeight="1">
      <c r="B81" s="27" t="n"/>
    </row>
    <row r="82" ht="15.5" customHeight="1">
      <c r="B82" s="27" t="inlineStr">
        <is>
          <t>// ③ SQLヒント：経路ごとに SELECT の上限を変える（ミリ秒）</t>
        </is>
      </c>
    </row>
    <row r="83" ht="15.5" customHeight="1">
      <c r="B83" s="27" t="inlineStr">
        <is>
          <t>String sql = "SELECT /*+ MAX_EXECUTION_TIME(20000) */ * FROM orders WHERE customer_id = ?";</t>
        </is>
      </c>
    </row>
    <row r="84" ht="15.5" customHeight="1">
      <c r="B84" s="27" t="n"/>
    </row>
    <row r="85" ht="15.5" customHeight="1">
      <c r="B85" s="27" t="inlineStr">
        <is>
          <t>// ④ エラーの変換：タイムアウトは 503 + Retry-After（または業務エラーコード）で返す</t>
        </is>
      </c>
    </row>
    <row r="86" ht="15.5" customHeight="1">
      <c r="B86" s="27" t="inlineStr">
        <is>
          <t>//    MySQLTimeoutException / ERROR 1205 / ERROR 3024 / IJ000655 / RollbackException を捕まえて変換</t>
        </is>
      </c>
    </row>
    <row r="87" ht="5" customHeight="1">
      <c r="B87" s="26" t="n"/>
    </row>
    <row r="88" ht="10" customHeight="1"/>
    <row r="89" ht="24" customHeight="1">
      <c r="B89" s="5" t="inlineStr">
        <is>
          <t xml:space="preserve">　Salesforce（Apex）</t>
        </is>
      </c>
    </row>
    <row r="90" ht="4" customHeight="1"/>
    <row r="91" ht="5" customHeight="1">
      <c r="B91" s="26" t="n"/>
    </row>
    <row r="92" ht="15.5" customHeight="1">
      <c r="B92" s="27" t="inlineStr">
        <is>
          <t>// Salesforce（Apex）からのコールアウト</t>
        </is>
      </c>
    </row>
    <row r="93" ht="15.5" customHeight="1">
      <c r="B93" s="27" t="inlineStr">
        <is>
          <t>HttpRequest req = new HttpRequest();</t>
        </is>
      </c>
    </row>
    <row r="94" ht="15.5" customHeight="1">
      <c r="B94" s="27" t="inlineStr">
        <is>
          <t>req.setEndpoint('callout:Order_API/orders');   // 名前付き認証情報</t>
        </is>
      </c>
    </row>
    <row r="95" ht="15.5" customHeight="1">
      <c r="B95" s="27" t="inlineStr">
        <is>
          <t>req.setMethod('POST');</t>
        </is>
      </c>
    </row>
    <row r="96" ht="15.5" customHeight="1">
      <c r="B96" s="27" t="inlineStr">
        <is>
          <t>req.setTimeout(40000);                          // API Gateway 29秒＋余裕。最大120000、累計120秒</t>
        </is>
      </c>
    </row>
    <row r="97" ht="15.5" customHeight="1">
      <c r="B97" s="27" t="inlineStr">
        <is>
          <t>req.setHeader('Idempotency-Key', requestId);    // 再送しても二重登録しないための鍵</t>
        </is>
      </c>
    </row>
    <row r="98" ht="15.5" customHeight="1">
      <c r="B98" s="27" t="inlineStr">
        <is>
          <t>req.setBody(JSON.serialize(payload));</t>
        </is>
      </c>
    </row>
    <row r="99" ht="15.5" customHeight="1">
      <c r="B99" s="27" t="inlineStr">
        <is>
          <t>HttpResponse res = new Http().send(req);</t>
        </is>
      </c>
    </row>
    <row r="100" ht="15.5" customHeight="1">
      <c r="B100" s="27" t="inlineStr">
        <is>
          <t>// 503 / 504 のときは、すぐに再送せず Queueable 等で時間をおいて再試行</t>
        </is>
      </c>
    </row>
    <row r="101" ht="5" customHeight="1">
      <c r="B101" s="26" t="n"/>
    </row>
    <row r="102" ht="10" customHeight="1"/>
    <row r="103" ht="24" customHeight="1">
      <c r="B103" s="5" t="inlineStr">
        <is>
          <t xml:space="preserve">　AWS CLI：API Gateway／ALB／RDS Proxy／Aurora</t>
        </is>
      </c>
    </row>
    <row r="104" ht="4" customHeight="1"/>
    <row r="105" ht="5" customHeight="1">
      <c r="B105" s="26" t="n"/>
    </row>
    <row r="106" ht="15.5" customHeight="1">
      <c r="B106" s="27" t="inlineStr">
        <is>
          <t># API Gateway（REST）：統合タイムアウト（メソッド単位）→ デプロイして反映</t>
        </is>
      </c>
    </row>
    <row r="107" ht="15.5" customHeight="1">
      <c r="B107" s="27" t="inlineStr">
        <is>
          <t>aws apigateway update-integration --rest-api-id abc123 --resource-id res456 --http-method POST \</t>
        </is>
      </c>
    </row>
    <row r="108" ht="15.5" customHeight="1">
      <c r="B108" s="27" t="inlineStr">
        <is>
          <t xml:space="preserve">  --patch-operations op=replace,path=/timeoutInMillis,value=29000</t>
        </is>
      </c>
    </row>
    <row r="109" ht="15.5" customHeight="1">
      <c r="B109" s="27" t="inlineStr">
        <is>
          <t>aws apigateway create-deployment --rest-api-id abc123 --stage-name prod</t>
        </is>
      </c>
    </row>
    <row r="110" ht="15.5" customHeight="1">
      <c r="B110" s="27" t="n"/>
    </row>
    <row r="111" ht="15.5" customHeight="1">
      <c r="B111" s="27" t="inlineStr">
        <is>
          <t># ALB：idle（LB単位）と登録解除遅延（TG単位）</t>
        </is>
      </c>
    </row>
    <row r="112" ht="15.5" customHeight="1">
      <c r="B112" s="27" t="inlineStr">
        <is>
          <t>aws elbv2 modify-load-balancer-attributes --load-balancer-arn &lt;ALB-2のARN&gt; \</t>
        </is>
      </c>
    </row>
    <row r="113" ht="15.5" customHeight="1">
      <c r="B113" s="27" t="inlineStr">
        <is>
          <t xml:space="preserve">  --attributes Key=idle_timeout.timeout_seconds,Value=150</t>
        </is>
      </c>
    </row>
    <row r="114" ht="15.5" customHeight="1">
      <c r="B114" s="27" t="inlineStr">
        <is>
          <t>aws elbv2 modify-target-group-attributes --target-group-arn &lt;サービスBのTG&gt; \</t>
        </is>
      </c>
    </row>
    <row r="115" ht="15.5" customHeight="1">
      <c r="B115" s="27" t="inlineStr">
        <is>
          <t xml:space="preserve">  --attributes Key=deregistration_delay.timeout_seconds,Value=135</t>
        </is>
      </c>
    </row>
    <row r="116" ht="15.5" customHeight="1">
      <c r="B116" s="27" t="n"/>
    </row>
    <row r="117" ht="15.5" customHeight="1">
      <c r="B117" s="27" t="inlineStr">
        <is>
          <t># RDS Proxy：オンライン用</t>
        </is>
      </c>
    </row>
    <row r="118" ht="15.5" customHeight="1">
      <c r="B118" s="27" t="inlineStr">
        <is>
          <t>aws rds modify-db-proxy --db-proxy-name proxy-dba-online --idle-client-timeout 1800</t>
        </is>
      </c>
    </row>
    <row r="119" ht="15.5" customHeight="1">
      <c r="B119" s="27" t="inlineStr">
        <is>
          <t>aws rds modify-db-proxy-target-group --db-proxy-name proxy-dba-online --target-group-name default \</t>
        </is>
      </c>
    </row>
    <row r="120" ht="29" customHeight="1">
      <c r="B120" s="27" t="inlineStr">
        <is>
          <t xml:space="preserve">  --connection-pool-config '{"ConnectionBorrowTimeout":10,"MaxConnectionsPercent":60,"MaxIdleConnectionsPercent":30,"InitQuery":"SET innodb_lock_wait_timeout=10"}'</t>
        </is>
      </c>
    </row>
    <row r="121" ht="15.5" customHeight="1">
      <c r="B121" s="27" t="n"/>
    </row>
    <row r="122" ht="15.5" customHeight="1">
      <c r="B122" s="27" t="inlineStr">
        <is>
          <t># RDS Proxy：バッチ用（同じクラスタに2つ目の Proxy を作る）</t>
        </is>
      </c>
    </row>
    <row r="123" ht="15.5" customHeight="1">
      <c r="B123" s="27" t="inlineStr">
        <is>
          <t>aws rds modify-db-proxy --db-proxy-name proxy-dba-batch --idle-client-timeout 7200</t>
        </is>
      </c>
    </row>
    <row r="124" ht="15.5" customHeight="1">
      <c r="B124" s="27" t="inlineStr">
        <is>
          <t>aws rds modify-db-proxy-target-group --db-proxy-name proxy-dba-batch --target-group-name default \</t>
        </is>
      </c>
    </row>
    <row r="125" ht="29" customHeight="1">
      <c r="B125" s="27" t="inlineStr">
        <is>
          <t xml:space="preserve">  --connection-pool-config '{"ConnectionBorrowTimeout":120,"MaxConnectionsPercent":30,"MaxIdleConnectionsPercent":10,"InitQuery":"SET innodb_lock_wait_timeout=120"}'</t>
        </is>
      </c>
    </row>
    <row r="126" ht="15.5" customHeight="1">
      <c r="B126" s="27" t="n"/>
    </row>
    <row r="127" ht="15.5" customHeight="1">
      <c r="B127" s="27" t="inlineStr">
        <is>
          <t># Aurora：クラスタパラメータ（全体の既定）。InitQuery で上書きされない接続のための値</t>
        </is>
      </c>
    </row>
    <row r="128" ht="15.5" customHeight="1">
      <c r="B128" s="27" t="inlineStr">
        <is>
          <t>aws rds modify-db-cluster-parameter-group --db-cluster-parameter-group-name aurora-mysql-app \</t>
        </is>
      </c>
    </row>
    <row r="129" ht="15.5" customHeight="1">
      <c r="B129" s="27" t="inlineStr">
        <is>
          <t xml:space="preserve">  --parameters "ParameterName=innodb_lock_wait_timeout,ParameterValue=50,ApplyMethod=immediate"</t>
        </is>
      </c>
    </row>
    <row r="130" ht="15.5" customHeight="1">
      <c r="B130" s="27" t="n"/>
    </row>
    <row r="131" ht="5" customHeight="1">
      <c r="B131" s="26" t="n"/>
    </row>
    <row r="132" ht="10" customHeight="1"/>
    <row r="133" ht="24" customHeight="1">
      <c r="B133" s="5" t="inlineStr">
        <is>
          <t xml:space="preserve">　ECS：タスク定義とサービス</t>
        </is>
      </c>
    </row>
    <row r="134" ht="4" customHeight="1"/>
    <row r="135" ht="5" customHeight="1">
      <c r="B135" s="26" t="n"/>
    </row>
    <row r="136" ht="15.5" customHeight="1">
      <c r="B136" s="27" t="inlineStr">
        <is>
          <t>// ECS タスク定義（抜粋）</t>
        </is>
      </c>
    </row>
    <row r="137" ht="15.5" customHeight="1">
      <c r="B137" s="27" t="inlineStr">
        <is>
          <t>"containerDefinitions": [{</t>
        </is>
      </c>
    </row>
    <row r="138" ht="15.5" customHeight="1">
      <c r="B138" s="27" t="inlineStr">
        <is>
          <t xml:space="preserve">  "name": "jboss",</t>
        </is>
      </c>
    </row>
    <row r="139" ht="15.5" customHeight="1">
      <c r="B139" s="27" t="inlineStr">
        <is>
          <t xml:space="preserve">  "stopTimeout": 60,</t>
        </is>
      </c>
    </row>
    <row r="140" ht="15.5" customHeight="1">
      <c r="B140" s="27" t="inlineStr">
        <is>
          <t xml:space="preserve">  "healthCheck": { "command": ["CMD-SHELL", "curl -fs http://localhost:9990/health/ready || exit 1"],</t>
        </is>
      </c>
    </row>
    <row r="141" ht="15.5" customHeight="1">
      <c r="B141" s="27" t="inlineStr">
        <is>
          <t xml:space="preserve">                   "interval": 30, "timeout": 5, "retries": 3, "startPeriod": 120 }</t>
        </is>
      </c>
    </row>
    <row r="142" ht="15.5" customHeight="1">
      <c r="B142" s="27" t="inlineStr">
        <is>
          <t>}]</t>
        </is>
      </c>
    </row>
    <row r="143" ht="15.5" customHeight="1">
      <c r="B143" s="27" t="inlineStr">
        <is>
          <t>// ECS サービス（抜粋）</t>
        </is>
      </c>
    </row>
    <row r="144" ht="15.5" customHeight="1">
      <c r="B144" s="27" t="inlineStr">
        <is>
          <t>"healthCheckGracePeriodSeconds": 180</t>
        </is>
      </c>
    </row>
    <row r="145" ht="5" customHeight="1">
      <c r="B145" s="26" t="n"/>
    </row>
    <row r="146" ht="10" customHeight="1"/>
    <row r="147" ht="24" customHeight="1">
      <c r="B147" s="5" t="inlineStr">
        <is>
          <t xml:space="preserve">　バッチ：接続設定</t>
        </is>
      </c>
    </row>
    <row r="148" ht="4" customHeight="1"/>
    <row r="149" ht="5" customHeight="1">
      <c r="B149" s="26" t="n"/>
    </row>
    <row r="150" ht="15.5" customHeight="1">
      <c r="B150" s="27" t="inlineStr">
        <is>
          <t># バッチ（Spring Boot＋HikariCP の例）。バッチ用 Proxy へ接続</t>
        </is>
      </c>
    </row>
    <row r="151" ht="29" customHeight="1">
      <c r="B151" s="27" t="inlineStr">
        <is>
          <t>spring.datasource.url=jdbc:mysql://proxy-dba-batch.proxy-xxxx.ap-northeast-1.rds.amazonaws.com:3306/dba?connectTimeout=10000&amp;socketTimeout=1800000&amp;tcpKeepAlive=true</t>
        </is>
      </c>
    </row>
    <row r="152" ht="15.5" customHeight="1">
      <c r="B152" s="27" t="inlineStr">
        <is>
          <t>spring.datasource.hikari.connection-timeout=30000     # 取得待ち</t>
        </is>
      </c>
    </row>
    <row r="153" ht="15.5" customHeight="1">
      <c r="B153" s="27" t="inlineStr">
        <is>
          <t>spring.datasource.hikari.idle-timeout=600000          # 10分 ＜ IdleClientTimeout 7200秒</t>
        </is>
      </c>
    </row>
    <row r="154" ht="15.5" customHeight="1">
      <c r="B154" s="27" t="inlineStr">
        <is>
          <t>spring.datasource.hikari.max-lifetime=1800000         # 30分 ＜ 24時間</t>
        </is>
      </c>
    </row>
    <row r="155" ht="15.5" customHeight="1">
      <c r="B155" s="27" t="inlineStr">
        <is>
          <t>spring.datasource.hikari.maximum-pool-size=8          # 並列度＝接続数の上限</t>
        </is>
      </c>
    </row>
    <row r="156" ht="15.5" customHeight="1">
      <c r="B156" s="27" t="inlineStr">
        <is>
          <t># 大量行を逐次読みする場合はセッションで（追跡対象の変数なのでピン留めされない）</t>
        </is>
      </c>
    </row>
    <row r="157" ht="15.5" customHeight="1">
      <c r="B157" s="27" t="inlineStr">
        <is>
          <t>#   SET SESSION net_write_timeout = 600;</t>
        </is>
      </c>
    </row>
    <row r="158" ht="15.5" customHeight="1">
      <c r="B158" s="27" t="inlineStr">
        <is>
          <t># チャンク：1,000件ごとにコミット、チャンクのトランザクション期限は300秒</t>
        </is>
      </c>
    </row>
    <row r="159" ht="5" customHeight="1">
      <c r="B159" s="26" t="n"/>
    </row>
    <row r="160" ht="10" customHeight="1"/>
    <row r="161" ht="24" customHeight="1">
      <c r="B161" s="5" t="inlineStr">
        <is>
          <t xml:space="preserve">　試験用SQL</t>
        </is>
      </c>
    </row>
    <row r="162" ht="4" customHeight="1"/>
    <row r="163" ht="5" customHeight="1">
      <c r="B163" s="26" t="n"/>
    </row>
    <row r="164" ht="15.5" customHeight="1">
      <c r="B164" s="27" t="inlineStr">
        <is>
          <t>-- 試験用：ロック待ちタイムアウト（ERROR 1205）を起こす</t>
        </is>
      </c>
    </row>
    <row r="165" ht="15.5" customHeight="1">
      <c r="B165" s="27" t="inlineStr">
        <is>
          <t>-- セッション1（バッチ役）</t>
        </is>
      </c>
    </row>
    <row r="166" ht="15.5" customHeight="1">
      <c r="B166" s="27" t="inlineStr">
        <is>
          <t>START TRANSACTION;</t>
        </is>
      </c>
    </row>
    <row r="167" ht="15.5" customHeight="1">
      <c r="B167" s="27" t="inlineStr">
        <is>
          <t>SELECT * FROM orders WHERE id = 1 FOR UPDATE;   -- コミットせずに放置</t>
        </is>
      </c>
    </row>
    <row r="168" ht="15.5" customHeight="1">
      <c r="B168" s="27" t="inlineStr">
        <is>
          <t>-- セッション2（API役）：Proxy 経由の API から同じ行を更新 → 10秒で 1205 になることを確認</t>
        </is>
      </c>
    </row>
    <row r="169" ht="15.5" customHeight="1">
      <c r="B169" s="27" t="n"/>
    </row>
    <row r="170" ht="15.5" customHeight="1">
      <c r="B170" s="27" t="inlineStr">
        <is>
          <t>-- 試験用：SELECT 上限（ERROR 3024 / SLEEP は中断されると 1 を返す）</t>
        </is>
      </c>
    </row>
    <row r="171" ht="15.5" customHeight="1">
      <c r="B171" s="27" t="inlineStr">
        <is>
          <t>SELECT /*+ MAX_EXECUTION_TIME(2000) */ SLEEP(5);</t>
        </is>
      </c>
    </row>
    <row r="172" ht="15.5" customHeight="1">
      <c r="B172" s="27" t="n"/>
    </row>
    <row r="173" ht="15.5" customHeight="1">
      <c r="B173" s="27" t="inlineStr">
        <is>
          <t>-- 試験用：フェイルオーバー</t>
        </is>
      </c>
    </row>
    <row r="174" ht="15.5" customHeight="1">
      <c r="B174" s="27" t="inlineStr">
        <is>
          <t>-- aws rds failover-db-cluster --db-cluster-identifier dba-cluster</t>
        </is>
      </c>
    </row>
    <row r="175" ht="15.5" customHeight="1">
      <c r="B175" s="27" t="n"/>
    </row>
    <row r="176" ht="15.5" customHeight="1">
      <c r="B176" s="27" t="inlineStr">
        <is>
          <t>-- XA の宙ぶらりん確認（PREPARED が残っていないか）</t>
        </is>
      </c>
    </row>
    <row r="177" ht="15.5" customHeight="1">
      <c r="B177" s="27" t="inlineStr">
        <is>
          <t>XA RECOVER;</t>
        </is>
      </c>
    </row>
  </sheetData>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4.xml><?xml version="1.0" encoding="utf-8"?>
<worksheet xmlns="http://schemas.openxmlformats.org/spreadsheetml/2006/main">
  <sheetPr>
    <tabColor rgb="00A6A6A6"/>
    <outlinePr summaryBelow="1" summaryRight="1"/>
    <pageSetUpPr fitToPage="1"/>
  </sheetPr>
  <dimension ref="A1:E30"/>
  <sheetViews>
    <sheetView showGridLines="0" zoomScale="100" workbookViewId="0">
      <selection activeCell="A1" sqref="A1"/>
    </sheetView>
  </sheetViews>
  <sheetFormatPr baseColWidth="8" defaultRowHeight="15"/>
  <cols>
    <col width="2" customWidth="1" min="1" max="1"/>
    <col width="18" customWidth="1" min="2" max="2"/>
    <col width="36" customWidth="1" min="3" max="3"/>
    <col width="40" customWidth="1" min="4" max="4"/>
    <col width="46" customWidth="1" min="5" max="5"/>
  </cols>
  <sheetData>
    <row r="1" ht="36" customHeight="1">
      <c r="B1" s="1" t="inlineStr">
        <is>
          <t>監視とチューニング</t>
        </is>
      </c>
      <c r="C1" s="2" t="n"/>
      <c r="D1" s="2" t="n"/>
      <c r="E1" s="2" t="n"/>
    </row>
    <row r="2" ht="18" customHeight="1">
      <c r="B2" s="20" t="inlineStr">
        <is>
          <t>« 00_表紙（目次）へ戻る</t>
        </is>
      </c>
      <c r="D2" s="21" t="inlineStr">
        <is>
          <t>Aurora Serverless v2 共有構成のタイムアウト設計ガイド　｜　監視とチューニング</t>
        </is>
      </c>
    </row>
    <row r="3" ht="6" customHeight="1"/>
    <row r="4" ht="21" customHeight="1">
      <c r="B4" s="4" t="inlineStr">
        <is>
          <t>タイムアウトは一度決めたら終わりではありません。実測（P50／P95／P99）を見て、期限の80%に近づいたら警告を出し、四半期ごとに見直します。</t>
        </is>
      </c>
    </row>
    <row r="5" ht="10" customHeight="1"/>
    <row r="6" ht="24" customHeight="1">
      <c r="B6" s="5" t="inlineStr">
        <is>
          <t xml:space="preserve">　見るべきメトリクス</t>
        </is>
      </c>
    </row>
    <row r="7" ht="4" customHeight="1"/>
    <row r="8" ht="23" customHeight="1">
      <c r="B8" s="6" t="inlineStr">
        <is>
          <t>レイヤ</t>
        </is>
      </c>
      <c r="C8" s="6" t="inlineStr">
        <is>
          <t>メトリクス・ログ</t>
        </is>
      </c>
      <c r="D8" s="6" t="inlineStr">
        <is>
          <t>何がわかるか</t>
        </is>
      </c>
      <c r="E8" s="6" t="inlineStr">
        <is>
          <t>アラームの例</t>
        </is>
      </c>
    </row>
    <row r="9" ht="37" customHeight="1">
      <c r="B9" s="13" t="inlineStr">
        <is>
          <t>API Gateway</t>
        </is>
      </c>
      <c r="C9" s="9" t="inlineStr">
        <is>
          <t>IntegrationLatency、Latency、5XXError</t>
        </is>
      </c>
      <c r="D9" s="9" t="inlineStr">
        <is>
          <t>バックエンドの応答時間、504の発生</t>
        </is>
      </c>
      <c r="E9" s="9" t="inlineStr">
        <is>
          <t>IntegrationLatency の P99 ＞ 20秒（期限25秒の80%）</t>
        </is>
      </c>
    </row>
    <row r="10" ht="82" customHeight="1">
      <c r="B10" s="14" t="inlineStr">
        <is>
          <t>ALB</t>
        </is>
      </c>
      <c r="C10" s="12" t="inlineStr">
        <is>
          <t>TargetResponseTime、HTTPCode_ELB_504_Count、HTTPCode_ELB_502_Count、HTTPCode_ELB_503_Count、HealthyHostCount</t>
        </is>
      </c>
      <c r="D10" s="12" t="inlineStr">
        <is>
          <t>応答時間、idle超過、keep-alive 競合、ターゲット不足</t>
        </is>
      </c>
      <c r="E10" s="12" t="inlineStr">
        <is>
          <t>ELB_502 が継続して1以上（タイマー逆転の疑い）</t>
        </is>
      </c>
    </row>
    <row r="11" ht="52" customHeight="1">
      <c r="B11" s="13" t="inlineStr">
        <is>
          <t>ECS</t>
        </is>
      </c>
      <c r="C11" s="9" t="inlineStr">
        <is>
          <t>CPUUtilization、MemoryUtilization、RunningTaskCount</t>
        </is>
      </c>
      <c r="D11" s="9" t="inlineStr">
        <is>
          <t>タスクの余力、再起動の連鎖</t>
        </is>
      </c>
      <c r="E11" s="9" t="inlineStr">
        <is>
          <t>RunningTaskCount が希望数を下回る</t>
        </is>
      </c>
    </row>
    <row r="12" ht="67" customHeight="1">
      <c r="B12" s="14" t="inlineStr">
        <is>
          <t>JBoss（データソース）</t>
        </is>
      </c>
      <c r="C12" s="12" t="inlineStr">
        <is>
          <t>InUseCount、MaxUsedCount、WaitCount、MaxWaitTime、TimedOut（statistics-enabled＝true）</t>
        </is>
      </c>
      <c r="D12" s="12" t="inlineStr">
        <is>
          <t>プールの使用率、借用待ち</t>
        </is>
      </c>
      <c r="E12" s="12" t="inlineStr">
        <is>
          <t>TimedOut が1以上、MaxUsedCount が上限の80%</t>
        </is>
      </c>
    </row>
    <row r="13" ht="82" customHeight="1">
      <c r="B13" s="13" t="inlineStr">
        <is>
          <t>JBoss（トランザクション）</t>
        </is>
      </c>
      <c r="C13" s="9" t="inlineStr">
        <is>
          <t>number-of-timed-out-transactions、number-of-inflight-transactions、number-of-heuristics、ログ ARJUNA012117</t>
        </is>
      </c>
      <c r="D13" s="9" t="inlineStr">
        <is>
          <t>期限切れの件数、宙ぶらりんの発生</t>
        </is>
      </c>
      <c r="E13" s="9" t="inlineStr">
        <is>
          <t>timed-out が増加傾向、heuristics が1以上</t>
        </is>
      </c>
    </row>
    <row r="14" ht="37" customHeight="1">
      <c r="B14" s="14" t="inlineStr">
        <is>
          <t>JBoss（Undertow）</t>
        </is>
      </c>
      <c r="C14" s="12" t="inlineStr">
        <is>
          <t>request-count、processing-time、max-processing-time</t>
        </is>
      </c>
      <c r="D14" s="12" t="inlineStr">
        <is>
          <t>サーバ側の処理時間</t>
        </is>
      </c>
      <c r="E14" s="12" t="inlineStr">
        <is>
          <t>max-processing-time が期限に接近</t>
        </is>
      </c>
    </row>
    <row r="15" ht="112" customHeight="1">
      <c r="B15" s="13" t="inlineStr">
        <is>
          <t>RDS Proxy</t>
        </is>
      </c>
      <c r="C15" s="9" t="inlineStr">
        <is>
          <t>DatabaseConnectionsBorrowLatency、DatabaseConnectionsCurrentlySessionPinned、DatabaseConnections、MaxDatabaseConnectionsAllowed、ClientConnections、QueryDatabaseResponseLatency</t>
        </is>
      </c>
      <c r="D15" s="9" t="inlineStr">
        <is>
          <t>借用待ち、ピン留め率、接続枠の余裕</t>
        </is>
      </c>
      <c r="E15" s="9" t="inlineStr">
        <is>
          <t>BorrowLatency の上昇、ピン留め接続の割合が高い</t>
        </is>
      </c>
    </row>
    <row r="16" ht="97" customHeight="1">
      <c r="B16" s="14" t="inlineStr">
        <is>
          <t>Aurora</t>
        </is>
      </c>
      <c r="C16" s="12" t="inlineStr">
        <is>
          <t>ServerlessDatabaseCapacity、ACUUtilization、DatabaseConnections、BlockedTransactions、Deadlocks、RollbackSegmentHistoryListLength</t>
        </is>
      </c>
      <c r="D16" s="12" t="inlineStr">
        <is>
          <t>容量不足、ロック競合、長いトランザクション</t>
        </is>
      </c>
      <c r="E16" s="12" t="inlineStr">
        <is>
          <t>ACUUtilization が長時間90%超（最大ACU不足）、History List Length の増加</t>
        </is>
      </c>
    </row>
    <row r="17" ht="37" customHeight="1">
      <c r="B17" s="13" t="inlineStr">
        <is>
          <t>Aurora（SQL）</t>
        </is>
      </c>
      <c r="C17" s="9" t="inlineStr">
        <is>
          <t>スロークエリログ、CloudWatch Database Insights</t>
        </is>
      </c>
      <c r="D17" s="9" t="inlineStr">
        <is>
          <t>遅いSQLと待機イベント</t>
        </is>
      </c>
      <c r="E17" s="9" t="inlineStr">
        <is>
          <t>上位SQLの実行時間が期限の50%超</t>
        </is>
      </c>
    </row>
    <row r="18" ht="22" customHeight="1">
      <c r="B18" s="14" t="inlineStr">
        <is>
          <t>Salesforce</t>
        </is>
      </c>
      <c r="C18" s="12" t="inlineStr">
        <is>
          <t>デバッグログ、イベントモニタリング</t>
        </is>
      </c>
      <c r="D18" s="12" t="inlineStr">
        <is>
          <t>コールアウトのタイムアウト・再送</t>
        </is>
      </c>
      <c r="E18" s="12" t="inlineStr">
        <is>
          <t>CalloutException の増加</t>
        </is>
      </c>
    </row>
    <row r="19" ht="10" customHeight="1"/>
    <row r="20" ht="24" customHeight="1">
      <c r="B20" s="5" t="inlineStr">
        <is>
          <t xml:space="preserve">　チューニングの進め方（ループ）</t>
        </is>
      </c>
    </row>
    <row r="21" ht="4" customHeight="1"/>
    <row r="22" ht="23" customHeight="1">
      <c r="B22" s="6" t="inlineStr">
        <is>
          <t>手順</t>
        </is>
      </c>
      <c r="C22" s="6" t="inlineStr">
        <is>
          <t>やること</t>
        </is>
      </c>
      <c r="D22" s="7" t="n"/>
      <c r="E22" s="8" t="n"/>
    </row>
    <row r="23" ht="22" customHeight="1">
      <c r="B23" s="13" t="inlineStr">
        <is>
          <t>1. 測る</t>
        </is>
      </c>
      <c r="C23" s="9" t="inlineStr">
        <is>
          <t>経路・API ごとに P50／P95／P99 の処理時間、SQL時間、プール待ち、借用待ちを1〜2週間測る</t>
        </is>
      </c>
      <c r="D23" s="10" t="n"/>
      <c r="E23" s="11" t="n"/>
    </row>
    <row r="24" ht="22" customHeight="1">
      <c r="B24" s="14" t="inlineStr">
        <is>
          <t>2. 期限を決める</t>
        </is>
      </c>
      <c r="C24" s="12" t="inlineStr">
        <is>
          <t>アプリ期限＝min（業務で合意した上限、P99×2〜3）。外部APIは25秒、イントラAPIは120秒が天井</t>
        </is>
      </c>
      <c r="D24" s="10" t="n"/>
      <c r="E24" s="11" t="n"/>
    </row>
    <row r="25" ht="22" customHeight="1">
      <c r="B25" s="13" t="inlineStr">
        <is>
          <t>3. 外側を計算する</t>
        </is>
      </c>
      <c r="C25" s="9" t="inlineStr">
        <is>
          <t>11_計算シートにアプリ期限を入れ、外側（API Gateway・ALB・Undertow・呼出元）と内側（プール・借用・ロック）を出す</t>
        </is>
      </c>
      <c r="D25" s="10" t="n"/>
      <c r="E25" s="11" t="n"/>
    </row>
    <row r="26" ht="22" customHeight="1">
      <c r="B26" s="14" t="inlineStr">
        <is>
          <t>4. 試験する</t>
        </is>
      </c>
      <c r="C26" s="12" t="inlineStr">
        <is>
          <t>14_チェックリストの試験で、各タイマーを意図的に鳴らし、返るエラーとログを確認</t>
        </is>
      </c>
      <c r="D26" s="10" t="n"/>
      <c r="E26" s="11" t="n"/>
    </row>
    <row r="27" ht="22" customHeight="1">
      <c r="B27" s="13" t="inlineStr">
        <is>
          <t>5. 監視する</t>
        </is>
      </c>
      <c r="C27" s="9" t="inlineStr">
        <is>
          <t>期限の80%で警告。ELB_502、TimedOut、heuristics は1件でも調査</t>
        </is>
      </c>
      <c r="D27" s="10" t="n"/>
      <c r="E27" s="11" t="n"/>
    </row>
    <row r="28" ht="22" customHeight="1">
      <c r="B28" s="14" t="inlineStr">
        <is>
          <t>6. 見直す</t>
        </is>
      </c>
      <c r="C28" s="12" t="inlineStr">
        <is>
          <t>四半期ごと、または大きな機能追加・データ増加のときに1へ戻る</t>
        </is>
      </c>
      <c r="D28" s="10" t="n"/>
      <c r="E28" s="11" t="n"/>
    </row>
    <row r="29" ht="4" customHeight="1"/>
    <row r="30" ht="27" customHeight="1">
      <c r="B30" s="15" t="inlineStr">
        <is>
          <r>
            <rPr>
              <rFont val="Meiryo UI"/>
              <b val="1"/>
              <sz val="10"/>
            </rPr>
            <t xml:space="preserve">【ポイント】 </t>
          </r>
          <r>
            <rPr>
              <rFont val="Meiryo UI"/>
              <sz val="10"/>
            </rPr>
            <t>タイムアウトの件数が増えたら、まず「遅い原因」（SQL、ロック競合、容量）を直す。タイムアウトを延ばすのは最後の手段。</t>
          </r>
        </is>
      </c>
      <c r="C30" s="16" t="n"/>
      <c r="D30" s="16" t="n"/>
      <c r="E30" s="17" t="n"/>
    </row>
  </sheetData>
  <mergeCells count="14">
    <mergeCell ref="B2:C2"/>
    <mergeCell ref="B1:E1"/>
    <mergeCell ref="C27:E27"/>
    <mergeCell ref="B4:E4"/>
    <mergeCell ref="D2:E2"/>
    <mergeCell ref="C28:E28"/>
    <mergeCell ref="C23:E23"/>
    <mergeCell ref="B6:E6"/>
    <mergeCell ref="C22:E22"/>
    <mergeCell ref="B30:E30"/>
    <mergeCell ref="C26:E26"/>
    <mergeCell ref="B20:E20"/>
    <mergeCell ref="C25:E25"/>
    <mergeCell ref="C24:E24"/>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5.xml><?xml version="1.0" encoding="utf-8"?>
<worksheet xmlns="http://schemas.openxmlformats.org/spreadsheetml/2006/main">
  <sheetPr>
    <tabColor rgb="00A6A6A6"/>
    <outlinePr summaryBelow="1" summaryRight="1"/>
    <pageSetUpPr fitToPage="1"/>
  </sheetPr>
  <dimension ref="A1:F30"/>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6" customWidth="1" min="2" max="2"/>
    <col width="10" customWidth="1" min="3" max="3"/>
    <col width="70" customWidth="1" min="4" max="4"/>
    <col width="40" customWidth="1" min="5" max="5"/>
    <col width="10" customWidth="1" min="6" max="6"/>
  </cols>
  <sheetData>
    <row r="1" ht="36" customHeight="1">
      <c r="B1" s="1" t="inlineStr">
        <is>
          <t>チェックリスト（設計・試験・運用）</t>
        </is>
      </c>
      <c r="C1" s="2" t="n"/>
      <c r="D1" s="2" t="n"/>
      <c r="E1" s="2" t="n"/>
      <c r="F1" s="2" t="n"/>
    </row>
    <row r="2" ht="18" customHeight="1">
      <c r="B2" s="20" t="inlineStr">
        <is>
          <t>« 00_表紙（目次）へ戻る</t>
        </is>
      </c>
      <c r="E2" s="21" t="inlineStr">
        <is>
          <t>Aurora Serverless v2 共有構成のタイムアウト設計ガイド　｜　チェックリスト（設計・試験・運用）</t>
        </is>
      </c>
    </row>
    <row r="3" ht="6" customHeight="1"/>
    <row r="4" ht="21" customHeight="1">
      <c r="B4" s="4" t="inlineStr">
        <is>
          <t>設定と試験の漏れを防ぐためのチェックリストです。結果欄に ☑ を付けて使ってください。</t>
        </is>
      </c>
    </row>
    <row r="5" ht="23" customHeight="1">
      <c r="B5" s="6" t="inlineStr">
        <is>
          <t>No</t>
        </is>
      </c>
      <c r="C5" s="6" t="inlineStr">
        <is>
          <t>区分</t>
        </is>
      </c>
      <c r="D5" s="6" t="inlineStr">
        <is>
          <t>チェック項目</t>
        </is>
      </c>
      <c r="E5" s="6" t="inlineStr">
        <is>
          <t>確認方法・資料</t>
        </is>
      </c>
      <c r="F5" s="6" t="inlineStr">
        <is>
          <t>結果</t>
        </is>
      </c>
    </row>
    <row r="6" ht="22" customHeight="1">
      <c r="B6" s="23" t="inlineStr">
        <is>
          <t>1</t>
        </is>
      </c>
      <c r="C6" s="23" t="inlineStr">
        <is>
          <t>設計</t>
        </is>
      </c>
      <c r="D6" s="9" t="inlineStr">
        <is>
          <t>経路ごとの「アプリ期限」を業務と合意したか（実測P99×2〜3、上限つき）</t>
        </is>
      </c>
      <c r="E6" s="9" t="inlineStr">
        <is>
          <t>合意記録、実測データ</t>
        </is>
      </c>
      <c r="F6" s="23" t="inlineStr">
        <is>
          <t>☐</t>
        </is>
      </c>
    </row>
    <row r="7" ht="37" customHeight="1">
      <c r="B7" s="24" t="inlineStr">
        <is>
          <t>2</t>
        </is>
      </c>
      <c r="C7" s="24" t="inlineStr">
        <is>
          <t>設計</t>
        </is>
      </c>
      <c r="D7" s="12" t="inlineStr">
        <is>
          <t>呼出元 ＞ API Gateway ＞ アプリ期限（JTA）＞ SQL上限 ＞ ロック待ち の順になっているか</t>
        </is>
      </c>
      <c r="E7" s="12" t="inlineStr">
        <is>
          <t>11_計算シートのチェックが全てOK</t>
        </is>
      </c>
      <c r="F7" s="24" t="inlineStr">
        <is>
          <t>☐</t>
        </is>
      </c>
    </row>
    <row r="8" ht="37" customHeight="1">
      <c r="B8" s="23" t="inlineStr">
        <is>
          <t>3</t>
        </is>
      </c>
      <c r="C8" s="23" t="inlineStr">
        <is>
          <t>設計</t>
        </is>
      </c>
      <c r="D8" s="9" t="inlineStr">
        <is>
          <t>Salesforce の setTimeout を API Gateway 統合TO＋余裕にしたか（既定10秒のままでないか）</t>
        </is>
      </c>
      <c r="E8" s="9" t="inlineStr">
        <is>
          <t>Apex コード、名前付き認証情報</t>
        </is>
      </c>
      <c r="F8" s="23" t="inlineStr">
        <is>
          <t>☐</t>
        </is>
      </c>
    </row>
    <row r="9" ht="22" customHeight="1">
      <c r="B9" s="24" t="inlineStr">
        <is>
          <t>4</t>
        </is>
      </c>
      <c r="C9" s="24" t="inlineStr">
        <is>
          <t>設計</t>
        </is>
      </c>
      <c r="D9" s="12" t="inlineStr">
        <is>
          <t>ALB idle ＞ そのALB上の最長アプリ期限 になっているか</t>
        </is>
      </c>
      <c r="E9" s="12" t="inlineStr">
        <is>
          <t>ALB 属性</t>
        </is>
      </c>
      <c r="F9" s="24" t="inlineStr">
        <is>
          <t>☐</t>
        </is>
      </c>
    </row>
    <row r="10" ht="37" customHeight="1">
      <c r="B10" s="23" t="inlineStr">
        <is>
          <t>5</t>
        </is>
      </c>
      <c r="C10" s="23" t="inlineStr">
        <is>
          <t>設計</t>
        </is>
      </c>
      <c r="D10" s="9" t="inlineStr">
        <is>
          <t>Undertow no-request-timeout ＞ ALB idle になっているか</t>
        </is>
      </c>
      <c r="E10" s="9" t="inlineStr">
        <is>
          <t>CLI read-resource(include-defaults=true)</t>
        </is>
      </c>
      <c r="F10" s="23" t="inlineStr">
        <is>
          <t>☐</t>
        </is>
      </c>
    </row>
    <row r="11" ht="22" customHeight="1">
      <c r="B11" s="24" t="inlineStr">
        <is>
          <t>6</t>
        </is>
      </c>
      <c r="C11" s="24" t="inlineStr">
        <is>
          <t>設計</t>
        </is>
      </c>
      <c r="D11" s="12" t="inlineStr">
        <is>
          <t>JBoss プール idle-timeout ＜ RDS Proxy IdleClientTimeout か</t>
        </is>
      </c>
      <c r="E11" s="12" t="inlineStr">
        <is>
          <t>データソース設定、Proxy 設定</t>
        </is>
      </c>
      <c r="F11" s="24" t="inlineStr">
        <is>
          <t>☐</t>
        </is>
      </c>
    </row>
    <row r="12" ht="37" customHeight="1">
      <c r="B12" s="23" t="inlineStr">
        <is>
          <t>7</t>
        </is>
      </c>
      <c r="C12" s="23" t="inlineStr">
        <is>
          <t>設計</t>
        </is>
      </c>
      <c r="D12" s="9" t="inlineStr">
        <is>
          <t>RDS Proxy ConnectionBorrowTimeout がオンラインのアプリ期限より十分短いか</t>
        </is>
      </c>
      <c r="E12" s="9" t="inlineStr">
        <is>
          <t>Proxy ターゲットグループ設定</t>
        </is>
      </c>
      <c r="F12" s="23" t="inlineStr">
        <is>
          <t>☐</t>
        </is>
      </c>
    </row>
    <row r="13" ht="37" customHeight="1">
      <c r="B13" s="24" t="inlineStr">
        <is>
          <t>8</t>
        </is>
      </c>
      <c r="C13" s="24" t="inlineStr">
        <is>
          <t>設計</t>
        </is>
      </c>
      <c r="D13" s="12" t="inlineStr">
        <is>
          <t>複数 Proxy の MaxConnectionsPercent の合計が100%以下で、実使用量より30%以上の余裕があるか</t>
        </is>
      </c>
      <c r="E13" s="12" t="inlineStr">
        <is>
          <t>Proxy 設定、MaxDatabaseConnectionsAllowed</t>
        </is>
      </c>
      <c r="F13" s="24" t="inlineStr">
        <is>
          <t>☐</t>
        </is>
      </c>
    </row>
    <row r="14" ht="37" customHeight="1">
      <c r="B14" s="23" t="inlineStr">
        <is>
          <t>9</t>
        </is>
      </c>
      <c r="C14" s="23" t="inlineStr">
        <is>
          <t>設計</t>
        </is>
      </c>
      <c r="D14" s="9" t="inlineStr">
        <is>
          <t>オンラインの innodb_lock_wait_timeout ＜ アプリ期限 か。SET でピン留めしていないか</t>
        </is>
      </c>
      <c r="E14" s="9" t="inlineStr">
        <is>
          <t>InitQuery、ピン留めメトリクス</t>
        </is>
      </c>
      <c r="F14" s="23" t="inlineStr">
        <is>
          <t>☐</t>
        </is>
      </c>
    </row>
    <row r="15" ht="37" customHeight="1">
      <c r="B15" s="24" t="inlineStr">
        <is>
          <t>10</t>
        </is>
      </c>
      <c r="C15" s="24" t="inlineStr">
        <is>
          <t>設計</t>
        </is>
      </c>
      <c r="D15" s="12" t="inlineStr">
        <is>
          <t>socketTimeout が、正当な最長SQLより長いか（安全ベルトが通常処理を切っていないか）</t>
        </is>
      </c>
      <c r="E15" s="12" t="inlineStr">
        <is>
          <t>接続URL、SQL実測</t>
        </is>
      </c>
      <c r="F15" s="24" t="inlineStr">
        <is>
          <t>☐</t>
        </is>
      </c>
    </row>
    <row r="16" ht="22" customHeight="1">
      <c r="B16" s="23" t="inlineStr">
        <is>
          <t>11</t>
        </is>
      </c>
      <c r="C16" s="23" t="inlineStr">
        <is>
          <t>設計</t>
        </is>
      </c>
      <c r="D16" s="9" t="inlineStr">
        <is>
          <t>登録解除遅延 ≧ そのTGの最長リクエスト、stopTimeout ≦ 120秒 か</t>
        </is>
      </c>
      <c r="E16" s="9" t="inlineStr">
        <is>
          <t>TG 属性、タスク定義</t>
        </is>
      </c>
      <c r="F16" s="23" t="inlineStr">
        <is>
          <t>☐</t>
        </is>
      </c>
    </row>
    <row r="17" ht="37" customHeight="1">
      <c r="B17" s="24" t="inlineStr">
        <is>
          <t>12</t>
        </is>
      </c>
      <c r="C17" s="24" t="inlineStr">
        <is>
          <t>設計</t>
        </is>
      </c>
      <c r="D17" s="12" t="inlineStr">
        <is>
          <t>冪等キー（Idempotency-Key）とリトライ方針（指数バックオフ＋ジッター、回数上限）を決めたか</t>
        </is>
      </c>
      <c r="E17" s="12" t="inlineStr">
        <is>
          <t>API 仕様書</t>
        </is>
      </c>
      <c r="F17" s="24" t="inlineStr">
        <is>
          <t>☐</t>
        </is>
      </c>
    </row>
    <row r="18" ht="37" customHeight="1">
      <c r="B18" s="23" t="inlineStr">
        <is>
          <t>13</t>
        </is>
      </c>
      <c r="C18" s="23" t="inlineStr">
        <is>
          <t>設計</t>
        </is>
      </c>
      <c r="D18" s="9" t="inlineStr">
        <is>
          <t>重いイントラAPIが、他経路と同じスレッド・プール・Proxy 枠を奪わないか（バルクヘッド）</t>
        </is>
      </c>
      <c r="E18" s="9" t="inlineStr">
        <is>
          <t>構成図</t>
        </is>
      </c>
      <c r="F18" s="23" t="inlineStr">
        <is>
          <t>☐</t>
        </is>
      </c>
    </row>
    <row r="19" ht="37" customHeight="1">
      <c r="B19" s="24" t="inlineStr">
        <is>
          <t>14</t>
        </is>
      </c>
      <c r="C19" s="24" t="inlineStr">
        <is>
          <t>設計</t>
        </is>
      </c>
      <c r="D19" s="12" t="inlineStr">
        <is>
          <t>2DB更新：XA が本当に必要か。必要なら Proxy 経由の XA を PoC、ObjectStore 永続化、node-identifier 一意</t>
        </is>
      </c>
      <c r="E19" s="12" t="inlineStr">
        <is>
          <t>PoC 結果</t>
        </is>
      </c>
      <c r="F19" s="24" t="inlineStr">
        <is>
          <t>☐</t>
        </is>
      </c>
    </row>
    <row r="20" ht="37" customHeight="1">
      <c r="B20" s="23" t="inlineStr">
        <is>
          <t>15</t>
        </is>
      </c>
      <c r="C20" s="23" t="inlineStr">
        <is>
          <t>設計</t>
        </is>
      </c>
      <c r="D20" s="9" t="inlineStr">
        <is>
          <t>バッチのコミット単位（チャンク）、実行時間帯、オンラインとのロック競合を確認したか</t>
        </is>
      </c>
      <c r="E20" s="9" t="inlineStr">
        <is>
          <t>バッチ設計書</t>
        </is>
      </c>
      <c r="F20" s="23" t="inlineStr">
        <is>
          <t>☐</t>
        </is>
      </c>
    </row>
    <row r="21" ht="37" customHeight="1">
      <c r="B21" s="24" t="inlineStr">
        <is>
          <t>16</t>
        </is>
      </c>
      <c r="C21" s="24" t="inlineStr">
        <is>
          <t>設計</t>
        </is>
      </c>
      <c r="D21" s="12" t="inlineStr">
        <is>
          <t>Aurora の最小ACUがオンライン業務開始時の負荷に足りるか（必要なら時間帯で変更）</t>
        </is>
      </c>
      <c r="E21" s="12" t="inlineStr">
        <is>
          <t>ServerlessDatabaseCapacity の推移</t>
        </is>
      </c>
      <c r="F21" s="24" t="inlineStr">
        <is>
          <t>☐</t>
        </is>
      </c>
    </row>
    <row r="22" ht="37" customHeight="1">
      <c r="B22" s="23" t="inlineStr">
        <is>
          <t>17</t>
        </is>
      </c>
      <c r="C22" s="23" t="inlineStr">
        <is>
          <t>設計</t>
        </is>
      </c>
      <c r="D22" s="9" t="inlineStr">
        <is>
          <t>useServerPrepStmts＝false、追跡されない SET を使っていないか</t>
        </is>
      </c>
      <c r="E22" s="9" t="inlineStr">
        <is>
          <t>DatabaseConnectionsCurrentlySessionPinned</t>
        </is>
      </c>
      <c r="F22" s="23" t="inlineStr">
        <is>
          <t>☐</t>
        </is>
      </c>
    </row>
    <row r="23" ht="22" customHeight="1">
      <c r="B23" s="24" t="inlineStr">
        <is>
          <t>18</t>
        </is>
      </c>
      <c r="C23" s="24" t="inlineStr">
        <is>
          <t>設計</t>
        </is>
      </c>
      <c r="D23" s="12" t="inlineStr">
        <is>
          <t>DDL は Proxy を通さず、lock_wait_timeout を短くして実行する手順か</t>
        </is>
      </c>
      <c r="E23" s="12" t="inlineStr">
        <is>
          <t>リリース手順書</t>
        </is>
      </c>
      <c r="F23" s="24" t="inlineStr">
        <is>
          <t>☐</t>
        </is>
      </c>
    </row>
    <row r="24" ht="37" customHeight="1">
      <c r="B24" s="23" t="inlineStr">
        <is>
          <t>19</t>
        </is>
      </c>
      <c r="C24" s="23" t="inlineStr">
        <is>
          <t>試験</t>
        </is>
      </c>
      <c r="D24" s="9" t="inlineStr">
        <is>
          <t>各タイマーを意図的に鳴らす（ロック保持、SLEEP、プール枯渇、Proxy 枠上限、タスク停止）</t>
        </is>
      </c>
      <c r="E24" s="9" t="inlineStr">
        <is>
          <t>12_設定例の試験用SQL</t>
        </is>
      </c>
      <c r="F24" s="23" t="inlineStr">
        <is>
          <t>☐</t>
        </is>
      </c>
    </row>
    <row r="25" ht="22" customHeight="1">
      <c r="B25" s="24" t="inlineStr">
        <is>
          <t>20</t>
        </is>
      </c>
      <c r="C25" s="24" t="inlineStr">
        <is>
          <t>試験</t>
        </is>
      </c>
      <c r="D25" s="12" t="inlineStr">
        <is>
          <t>鳴ったときの HTTPステータス・エラーコード・ログが設計どおりか</t>
        </is>
      </c>
      <c r="E25" s="12" t="inlineStr">
        <is>
          <t>10_障害シナリオと照合</t>
        </is>
      </c>
      <c r="F25" s="24" t="inlineStr">
        <is>
          <t>☐</t>
        </is>
      </c>
    </row>
    <row r="26" ht="22" customHeight="1">
      <c r="B26" s="23" t="inlineStr">
        <is>
          <t>21</t>
        </is>
      </c>
      <c r="C26" s="23" t="inlineStr">
        <is>
          <t>試験</t>
        </is>
      </c>
      <c r="D26" s="9" t="inlineStr">
        <is>
          <t>フェイルオーバー試験で、経路ごとの失敗件数と復旧時間を測ったか</t>
        </is>
      </c>
      <c r="E26" s="9" t="inlineStr">
        <is>
          <t>aws rds failover-db-cluster</t>
        </is>
      </c>
      <c r="F26" s="23" t="inlineStr">
        <is>
          <t>☐</t>
        </is>
      </c>
    </row>
    <row r="27" ht="22" customHeight="1">
      <c r="B27" s="24" t="inlineStr">
        <is>
          <t>22</t>
        </is>
      </c>
      <c r="C27" s="24" t="inlineStr">
        <is>
          <t>試験</t>
        </is>
      </c>
      <c r="D27" s="12" t="inlineStr">
        <is>
          <t>30分超・24時間超のアイドル後の最初のリクエストが成功するか</t>
        </is>
      </c>
      <c r="E27" s="12" t="inlineStr">
        <is>
          <t>夜間放置後の試験</t>
        </is>
      </c>
      <c r="F27" s="24" t="inlineStr">
        <is>
          <t>☐</t>
        </is>
      </c>
    </row>
    <row r="28" ht="22" customHeight="1">
      <c r="B28" s="23" t="inlineStr">
        <is>
          <t>23</t>
        </is>
      </c>
      <c r="C28" s="23" t="inlineStr">
        <is>
          <t>試験</t>
        </is>
      </c>
      <c r="D28" s="9" t="inlineStr">
        <is>
          <t>ローリングデプロイ中に長いリクエストが切れないか</t>
        </is>
      </c>
      <c r="E28" s="9" t="inlineStr">
        <is>
          <t>デプロイ中の負荷試験</t>
        </is>
      </c>
      <c r="F28" s="23" t="inlineStr">
        <is>
          <t>☐</t>
        </is>
      </c>
    </row>
    <row r="29" ht="22" customHeight="1">
      <c r="B29" s="24" t="inlineStr">
        <is>
          <t>24</t>
        </is>
      </c>
      <c r="C29" s="24" t="inlineStr">
        <is>
          <t>運用</t>
        </is>
      </c>
      <c r="D29" s="12" t="inlineStr">
        <is>
          <t>期限の80%で警告するアラームを設定したか</t>
        </is>
      </c>
      <c r="E29" s="12" t="inlineStr">
        <is>
          <t>13_監視とチューニング</t>
        </is>
      </c>
      <c r="F29" s="24" t="inlineStr">
        <is>
          <t>☐</t>
        </is>
      </c>
    </row>
    <row r="30" ht="22" customHeight="1">
      <c r="B30" s="23" t="inlineStr">
        <is>
          <t>25</t>
        </is>
      </c>
      <c r="C30" s="23" t="inlineStr">
        <is>
          <t>運用</t>
        </is>
      </c>
      <c r="D30" s="9" t="inlineStr">
        <is>
          <t>四半期ごとに実測値で期限を見直す仕組みがあるか</t>
        </is>
      </c>
      <c r="E30" s="9" t="inlineStr">
        <is>
          <t>運用手順書</t>
        </is>
      </c>
      <c r="F30" s="23" t="inlineStr">
        <is>
          <t>☐</t>
        </is>
      </c>
    </row>
  </sheetData>
  <mergeCells count="4">
    <mergeCell ref="B4:F4"/>
    <mergeCell ref="E2:F2"/>
    <mergeCell ref="B2:D2"/>
    <mergeCell ref="B1:F1"/>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6.xml><?xml version="1.0" encoding="utf-8"?>
<worksheet xmlns="http://schemas.openxmlformats.org/spreadsheetml/2006/main">
  <sheetPr>
    <tabColor rgb="00A6A6A6"/>
    <outlinePr summaryBelow="1" summaryRight="1"/>
    <pageSetUpPr fitToPage="1"/>
  </sheetPr>
  <dimension ref="A1:D41"/>
  <sheetViews>
    <sheetView showGridLines="0" zoomScale="100" workbookViewId="0">
      <selection activeCell="A1" sqref="A1"/>
    </sheetView>
  </sheetViews>
  <sheetFormatPr baseColWidth="8" defaultRowHeight="15"/>
  <cols>
    <col width="2" customWidth="1" min="1" max="1"/>
    <col width="26" customWidth="1" min="2" max="2"/>
    <col width="64" customWidth="1" min="3" max="3"/>
    <col width="50" customWidth="1" min="4" max="4"/>
  </cols>
  <sheetData>
    <row r="1" ht="36" customHeight="1">
      <c r="B1" s="1" t="inlineStr">
        <is>
          <t>用語集</t>
        </is>
      </c>
      <c r="C1" s="2" t="n"/>
      <c r="D1" s="2" t="n"/>
    </row>
    <row r="2" ht="18" customHeight="1">
      <c r="B2" s="20" t="inlineStr">
        <is>
          <t>« 00_表紙（目次）へ戻る</t>
        </is>
      </c>
      <c r="C2" s="21" t="inlineStr">
        <is>
          <t>Aurora Serverless v2 共有構成のタイムアウト設計ガイド　｜　用語集</t>
        </is>
      </c>
    </row>
    <row r="3" ht="6" customHeight="1"/>
    <row r="4" ht="21" customHeight="1">
      <c r="B4" s="4" t="inlineStr">
        <is>
          <t>この資料に出てくる言葉を、専門的な意味と、小学生向けのひとことで説明します。</t>
        </is>
      </c>
    </row>
    <row r="5" ht="23" customHeight="1">
      <c r="B5" s="6" t="inlineStr">
        <is>
          <t>用語</t>
        </is>
      </c>
      <c r="C5" s="6" t="inlineStr">
        <is>
          <t>意味</t>
        </is>
      </c>
      <c r="D5" s="6" t="inlineStr">
        <is>
          <t>小学生向けひとこと</t>
        </is>
      </c>
    </row>
    <row r="6" ht="37" customHeight="1">
      <c r="B6" s="13" t="inlineStr">
        <is>
          <t>タイムアウト</t>
        </is>
      </c>
      <c r="C6" s="9" t="inlineStr">
        <is>
          <t>決められた時間内に処理や応答が終わらないとき、待つのをやめてエラーにする仕組み</t>
        </is>
      </c>
      <c r="D6" s="9" t="inlineStr">
        <is>
          <t>あきらめタイマー</t>
        </is>
      </c>
    </row>
    <row r="7" ht="37" customHeight="1">
      <c r="B7" s="14" t="inlineStr">
        <is>
          <t>アプリ期限</t>
        </is>
      </c>
      <c r="C7" s="12" t="inlineStr">
        <is>
          <t>その経路のリクエストを、アプリが必ず終わらせる上限時間（本書では JTA のタイムアウト）</t>
        </is>
      </c>
      <c r="D7" s="12" t="inlineStr">
        <is>
          <t>宿題のしめきり</t>
        </is>
      </c>
    </row>
    <row r="8" ht="22" customHeight="1">
      <c r="B8" s="13" t="inlineStr">
        <is>
          <t>接続タイムアウト</t>
        </is>
      </c>
      <c r="C8" s="9" t="inlineStr">
        <is>
          <t>通信相手とつながるまでの待ち時間の上限</t>
        </is>
      </c>
      <c r="D8" s="9" t="inlineStr">
        <is>
          <t>電話がつながるまで待つ時間</t>
        </is>
      </c>
    </row>
    <row r="9" ht="22" customHeight="1">
      <c r="B9" s="14" t="inlineStr">
        <is>
          <t>アイドルタイムアウト</t>
        </is>
      </c>
      <c r="C9" s="12" t="inlineStr">
        <is>
          <t>何も通信しない時間がこれを超えたら接続を切る</t>
        </is>
      </c>
      <c r="D9" s="12" t="inlineStr">
        <is>
          <t>無言が続いたら電話を切る</t>
        </is>
      </c>
    </row>
    <row r="10" ht="37" customHeight="1">
      <c r="B10" s="13" t="inlineStr">
        <is>
          <t>keep-alive（持続的接続）</t>
        </is>
      </c>
      <c r="C10" s="9" t="inlineStr">
        <is>
          <t>1回つないだ接続を、複数のリクエストで使い回すこと</t>
        </is>
      </c>
      <c r="D10" s="9" t="inlineStr">
        <is>
          <t>糸電話をつなぎっぱなしにする</t>
        </is>
      </c>
    </row>
    <row r="11" ht="22" customHeight="1">
      <c r="B11" s="14" t="inlineStr">
        <is>
          <t>API Gateway</t>
        </is>
      </c>
      <c r="C11" s="12" t="inlineStr">
        <is>
          <t>AWS の API 受付サービス。認証・流量制限・変換を行う</t>
        </is>
      </c>
      <c r="D11" s="12" t="inlineStr">
        <is>
          <t>外のお客さん専用の受付係</t>
        </is>
      </c>
    </row>
    <row r="12" ht="37" customHeight="1">
      <c r="B12" s="13" t="inlineStr">
        <is>
          <t>統合タイムアウト</t>
        </is>
      </c>
      <c r="C12" s="9" t="inlineStr">
        <is>
          <t>API Gateway が裏側（バックエンド）の応答を待つ上限。REST は既定で最大29秒</t>
        </is>
      </c>
      <c r="D12" s="9" t="inlineStr">
        <is>
          <t>受付係が料理を待つ時間</t>
        </is>
      </c>
    </row>
    <row r="13" ht="37" customHeight="1">
      <c r="B13" s="14" t="inlineStr">
        <is>
          <t>VPC Link v2</t>
        </is>
      </c>
      <c r="C13" s="12" t="inlineStr">
        <is>
          <t>API Gateway から VPC 内の ALB／NLB へ私設でつなぐ仕組み。2025年11月から REST API でも ALB に直結できる</t>
        </is>
      </c>
      <c r="D13" s="12" t="inlineStr">
        <is>
          <t>受付から店の中への専用通路</t>
        </is>
      </c>
    </row>
    <row r="14" ht="37" customHeight="1">
      <c r="B14" s="13" t="inlineStr">
        <is>
          <t>ALB</t>
        </is>
      </c>
      <c r="C14" s="9" t="inlineStr">
        <is>
          <t>Application Load Balancer。HTTP のリクエストを複数のサーバに振り分ける</t>
        </is>
      </c>
      <c r="D14" s="9" t="inlineStr">
        <is>
          <t>ホールの案内係</t>
        </is>
      </c>
    </row>
    <row r="15" ht="22" customHeight="1">
      <c r="B15" s="14" t="inlineStr">
        <is>
          <t>ターゲットグループ（TG）</t>
        </is>
      </c>
      <c r="C15" s="12" t="inlineStr">
        <is>
          <t>ALB の振り分け先のまとまり</t>
        </is>
      </c>
      <c r="D15" s="12" t="inlineStr">
        <is>
          <t>案内係が担当するテーブルのグループ</t>
        </is>
      </c>
    </row>
    <row r="16" ht="22" customHeight="1">
      <c r="B16" s="13" t="inlineStr">
        <is>
          <t>登録解除遅延（ドレイン）</t>
        </is>
      </c>
      <c r="C16" s="9" t="inlineStr">
        <is>
          <t>サーバを外すとき、処理中のリクエストが終わるまで待つ時間</t>
        </is>
      </c>
      <c r="D16" s="9" t="inlineStr">
        <is>
          <t>閉店時、食べ終わるまで待つ時間</t>
        </is>
      </c>
    </row>
    <row r="17" ht="22" customHeight="1">
      <c r="B17" s="14" t="inlineStr">
        <is>
          <t>ECS タスク</t>
        </is>
      </c>
      <c r="C17" s="12" t="inlineStr">
        <is>
          <t>コンテナを動かす単位</t>
        </is>
      </c>
      <c r="D17" s="12" t="inlineStr">
        <is>
          <t>料理人1人</t>
        </is>
      </c>
    </row>
    <row r="18" ht="22" customHeight="1">
      <c r="B18" s="13" t="inlineStr">
        <is>
          <t>stopTimeout</t>
        </is>
      </c>
      <c r="C18" s="9" t="inlineStr">
        <is>
          <t>コンテナに停止を伝えてから強制終了するまでの猶予</t>
        </is>
      </c>
      <c r="D18" s="9" t="inlineStr">
        <is>
          <t>「片付けて帰ってね」から電気を消すまでの時間</t>
        </is>
      </c>
    </row>
    <row r="19" ht="22" customHeight="1">
      <c r="B19" s="14" t="inlineStr">
        <is>
          <t>JBoss EAP</t>
        </is>
      </c>
      <c r="C19" s="12" t="inlineStr">
        <is>
          <t>Red Hat の Jakarta EE アプリケーションサーバ。8.1 が現行</t>
        </is>
      </c>
      <c r="D19" s="12" t="inlineStr">
        <is>
          <t>料理人の厨房</t>
        </is>
      </c>
    </row>
    <row r="20" ht="22" customHeight="1">
      <c r="B20" s="13" t="inlineStr">
        <is>
          <t>Undertow</t>
        </is>
      </c>
      <c r="C20" s="9" t="inlineStr">
        <is>
          <t>JBoss EAP の Webサーバ部分</t>
        </is>
      </c>
      <c r="D20" s="9" t="inlineStr">
        <is>
          <t>厨房の受付窓口</t>
        </is>
      </c>
    </row>
    <row r="21" ht="22" customHeight="1">
      <c r="B21" s="14" t="inlineStr">
        <is>
          <t>JTA</t>
        </is>
      </c>
      <c r="C21" s="12" t="inlineStr">
        <is>
          <t>Jakarta Transactions。トランザクションを管理する標準の仕組み</t>
        </is>
      </c>
      <c r="D21" s="12" t="inlineStr">
        <is>
          <t>「全部そろったら出す」ルール</t>
        </is>
      </c>
    </row>
    <row r="22" ht="37" customHeight="1">
      <c r="B22" s="13" t="inlineStr">
        <is>
          <t>Narayana／Reaper</t>
        </is>
      </c>
      <c r="C22" s="9" t="inlineStr">
        <is>
          <t>JBoss のトランザクションマネージャ／期限切れトランザクションを回収するスレッド</t>
        </is>
      </c>
      <c r="D22" s="9" t="inlineStr">
        <is>
          <t>制限時間を見張って答案を回収する先生</t>
        </is>
      </c>
    </row>
    <row r="23" ht="22" customHeight="1">
      <c r="B23" s="14" t="inlineStr">
        <is>
          <t>XA／2相コミット</t>
        </is>
      </c>
      <c r="C23" s="12" t="inlineStr">
        <is>
          <t>複数のDBを「全部成功か全部取消か」にする手順（準備→確定）</t>
        </is>
      </c>
      <c r="D23" s="12" t="inlineStr">
        <is>
          <t>2つの店に同時に「せーの」で注文を確定する</t>
        </is>
      </c>
    </row>
    <row r="24" ht="22" customHeight="1">
      <c r="B24" s="13" t="inlineStr">
        <is>
          <t>in-doubt（PREPARED）</t>
        </is>
      </c>
      <c r="C24" s="9" t="inlineStr">
        <is>
          <t>2相コミットの途中で止まり、確定か取消かが決まっていない状態</t>
        </is>
      </c>
      <c r="D24" s="9" t="inlineStr">
        <is>
          <t>「せーの」の途中で止まった状態</t>
        </is>
      </c>
    </row>
    <row r="25" ht="22" customHeight="1">
      <c r="B25" s="14" t="inlineStr">
        <is>
          <t>コネクションプール</t>
        </is>
      </c>
      <c r="C25" s="12" t="inlineStr">
        <is>
          <t>DB接続をあらかじめ作って使い回す仕組み</t>
        </is>
      </c>
      <c r="D25" s="12" t="inlineStr">
        <is>
          <t>通行証を何枚か持って使い回す</t>
        </is>
      </c>
    </row>
    <row r="26" ht="37" customHeight="1">
      <c r="B26" s="13" t="inlineStr">
        <is>
          <t>RDS Proxy</t>
        </is>
      </c>
      <c r="C26" s="9" t="inlineStr">
        <is>
          <t>AWS のDB接続プロキシ。接続をまとめて使い回し、フェイルオーバーを速くする</t>
        </is>
      </c>
      <c r="D26" s="9" t="inlineStr">
        <is>
          <t>倉庫の扉の貸出係</t>
        </is>
      </c>
    </row>
    <row r="27" ht="22" customHeight="1">
      <c r="B27" s="14" t="inlineStr">
        <is>
          <t>多重化</t>
        </is>
      </c>
      <c r="C27" s="12" t="inlineStr">
        <is>
          <t>少ないDB接続を、多くのクライアントでトランザクションごとに貸し回すこと</t>
        </is>
      </c>
      <c r="D27" s="12" t="inlineStr">
        <is>
          <t>1つの扉をみんなで順番に使う</t>
        </is>
      </c>
    </row>
    <row r="28" ht="22" customHeight="1">
      <c r="B28" s="13" t="inlineStr">
        <is>
          <t>ピン留め（pinning）</t>
        </is>
      </c>
      <c r="C28" s="9" t="inlineStr">
        <is>
          <t>セッション状態の変更などで、クライアントがDB接続を専有してしまうこと</t>
        </is>
      </c>
      <c r="D28" s="9" t="inlineStr">
        <is>
          <t>傘に名前を書いて、ほかの人が使えなくなる</t>
        </is>
      </c>
    </row>
    <row r="29" ht="22" customHeight="1">
      <c r="B29" s="14" t="inlineStr">
        <is>
          <t>借用（Borrow）</t>
        </is>
      </c>
      <c r="C29" s="12" t="inlineStr">
        <is>
          <t>RDS Proxy がDB接続をプールから取り出してクライアントに割り当てること</t>
        </is>
      </c>
      <c r="D29" s="12" t="inlineStr">
        <is>
          <t>貸出係から扉を借りる</t>
        </is>
      </c>
    </row>
    <row r="30" ht="22" customHeight="1">
      <c r="B30" s="13" t="inlineStr">
        <is>
          <t>Aurora Serverless v2</t>
        </is>
      </c>
      <c r="C30" s="9" t="inlineStr">
        <is>
          <t>負荷に応じて容量（ACU）が自動で増減する Aurora</t>
        </is>
      </c>
      <c r="D30" s="9" t="inlineStr">
        <is>
          <t>混むと店員が自動で増える倉庫</t>
        </is>
      </c>
    </row>
    <row r="31" ht="22" customHeight="1">
      <c r="B31" s="14" t="inlineStr">
        <is>
          <t>ACU</t>
        </is>
      </c>
      <c r="C31" s="12" t="inlineStr">
        <is>
          <t>Aurora Capacity Unit。約2GiBのメモリと対応するCPU・ネットワーク</t>
        </is>
      </c>
      <c r="D31" s="12" t="inlineStr">
        <is>
          <t>店員1人分の力</t>
        </is>
      </c>
    </row>
    <row r="32" ht="37" customHeight="1">
      <c r="B32" s="13" t="inlineStr">
        <is>
          <t>自動一時停止（0 ACU）</t>
        </is>
      </c>
      <c r="C32" s="9" t="inlineStr">
        <is>
          <t>接続がないと容量0で停止し、接続が来ると再開（約15秒）。RDS Proxy があると起きない</t>
        </is>
      </c>
      <c r="D32" s="9" t="inlineStr">
        <is>
          <t>お客が来ないと店を閉めて寝る</t>
        </is>
      </c>
    </row>
    <row r="33" ht="22" customHeight="1">
      <c r="B33" s="14" t="inlineStr">
        <is>
          <t>フェイルオーバー</t>
        </is>
      </c>
      <c r="C33" s="12" t="inlineStr">
        <is>
          <t>ライターが故障したとき、別のインスタンスをライターに昇格させること</t>
        </is>
      </c>
      <c r="D33" s="12" t="inlineStr">
        <is>
          <t>先生が急に交代する</t>
        </is>
      </c>
    </row>
    <row r="34" ht="37" customHeight="1">
      <c r="B34" s="13" t="inlineStr">
        <is>
          <t>行ロック／ロック待ち</t>
        </is>
      </c>
      <c r="C34" s="9" t="inlineStr">
        <is>
          <t>更新中の行を他のトランザクションが更新できないようにすること／その順番待ち</t>
        </is>
      </c>
      <c r="D34" s="9" t="inlineStr">
        <is>
          <t>トイレの順番待ち</t>
        </is>
      </c>
    </row>
    <row r="35" ht="22" customHeight="1">
      <c r="B35" s="14" t="inlineStr">
        <is>
          <t>デッドロック</t>
        </is>
      </c>
      <c r="C35" s="12" t="inlineStr">
        <is>
          <t>2つのトランザクションが互いの持っているロックを待ち合って進めない状態</t>
        </is>
      </c>
      <c r="D35" s="12" t="inlineStr">
        <is>
          <t>2人がお互いの持っているおもちゃを待っている</t>
        </is>
      </c>
    </row>
    <row r="36" ht="22" customHeight="1">
      <c r="B36" s="13" t="inlineStr">
        <is>
          <t>冪等性（べきとうせい）</t>
        </is>
      </c>
      <c r="C36" s="9" t="inlineStr">
        <is>
          <t>同じ操作を何回やっても結果が1回と同じになる性質</t>
        </is>
      </c>
      <c r="D36" s="9" t="inlineStr">
        <is>
          <t>同じ注文を2回言っても、料理は1つだけ</t>
        </is>
      </c>
    </row>
    <row r="37" ht="22" customHeight="1">
      <c r="B37" s="14" t="inlineStr">
        <is>
          <t>指数バックオフ＋ジッター</t>
        </is>
      </c>
      <c r="C37" s="12" t="inlineStr">
        <is>
          <t>やり直しの間隔を1秒、2秒、4秒…と伸ばし、さらにランダムにずらすこと</t>
        </is>
      </c>
      <c r="D37" s="12" t="inlineStr">
        <is>
          <t>みんなが同時に並び直さないように、少しずつずらす</t>
        </is>
      </c>
    </row>
    <row r="38" ht="22" customHeight="1">
      <c r="B38" s="13" t="inlineStr">
        <is>
          <t>バルクヘッド</t>
        </is>
      </c>
      <c r="C38" s="9" t="inlineStr">
        <is>
          <t>船の隔壁のように、障害が他へ広がらないよう資源を区切ること</t>
        </is>
      </c>
      <c r="D38" s="9" t="inlineStr">
        <is>
          <t>水が入っても他の部屋に広がらない仕切り</t>
        </is>
      </c>
    </row>
    <row r="39" ht="22" customHeight="1">
      <c r="B39" s="14" t="inlineStr">
        <is>
          <t>ゾンビ処理</t>
        </is>
      </c>
      <c r="C39" s="12" t="inlineStr">
        <is>
          <t>呼出元はもう諦めたのに、裏で続いている処理</t>
        </is>
      </c>
      <c r="D39" s="12" t="inlineStr">
        <is>
          <t>だれも待っていないのに作り続けている料理</t>
        </is>
      </c>
    </row>
    <row r="40" ht="22" customHeight="1">
      <c r="B40" s="13" t="inlineStr">
        <is>
          <t>非同期処理</t>
        </is>
      </c>
      <c r="C40" s="9" t="inlineStr">
        <is>
          <t>「受け付けました」とすぐ返し、処理はあとで行って結果を別に知らせる方式</t>
        </is>
      </c>
      <c r="D40" s="9" t="inlineStr">
        <is>
          <t>「できたら呼びます」の呼び出しベル</t>
        </is>
      </c>
    </row>
    <row r="41" ht="22" customHeight="1">
      <c r="B41" s="14" t="inlineStr">
        <is>
          <t>P99</t>
        </is>
      </c>
      <c r="C41" s="12" t="inlineStr">
        <is>
          <t>100件中、遅いほうから1件目の応答時間（99%がこれ以内）</t>
        </is>
      </c>
      <c r="D41" s="12" t="inlineStr">
        <is>
          <t>100人中99人はこの時間までに終わる</t>
        </is>
      </c>
    </row>
  </sheetData>
  <mergeCells count="3">
    <mergeCell ref="B1:D1"/>
    <mergeCell ref="B4:D4"/>
    <mergeCell ref="C2:D2"/>
  </mergeCells>
  <hyperlinks>
    <hyperlink xmlns:r="http://schemas.openxmlformats.org/officeDocument/2006/relationships" ref="B2" r:id="rId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xl/worksheets/sheet17.xml><?xml version="1.0" encoding="utf-8"?>
<worksheet xmlns="http://schemas.openxmlformats.org/spreadsheetml/2006/main">
  <sheetPr>
    <tabColor rgb="00A6A6A6"/>
    <outlinePr summaryBelow="1" summaryRight="1"/>
    <pageSetUpPr fitToPage="1"/>
  </sheetPr>
  <dimension ref="A1:E35"/>
  <sheetViews>
    <sheetView showGridLines="0" zoomScale="100" workbookViewId="0">
      <selection activeCell="A1" sqref="A1"/>
    </sheetView>
  </sheetViews>
  <sheetFormatPr baseColWidth="8" defaultRowHeight="15"/>
  <cols>
    <col width="2" customWidth="1" min="1" max="1"/>
    <col width="6" customWidth="1" min="2" max="2"/>
    <col width="58" customWidth="1" min="3" max="3"/>
    <col width="80" customWidth="1" min="4" max="4"/>
    <col width="12" customWidth="1" min="5" max="5"/>
  </cols>
  <sheetData>
    <row r="1" ht="36" customHeight="1">
      <c r="B1" s="1" t="inlineStr">
        <is>
          <t>参考資料</t>
        </is>
      </c>
      <c r="C1" s="2" t="n"/>
      <c r="D1" s="2" t="n"/>
      <c r="E1" s="2" t="n"/>
    </row>
    <row r="2" ht="18" customHeight="1">
      <c r="B2" s="20" t="inlineStr">
        <is>
          <t>« 00_表紙（目次）へ戻る</t>
        </is>
      </c>
      <c r="D2" s="21" t="inlineStr">
        <is>
          <t>Aurora Serverless v2 共有構成のタイムアウト設計ガイド　｜　参考資料</t>
        </is>
      </c>
    </row>
    <row r="3" ht="6" customHeight="1"/>
    <row r="4" ht="21" customHeight="1">
      <c r="B4" s="4" t="inlineStr">
        <is>
          <t>本書の既定値・上限値・仕様は、以下の公式ドキュメント（2026年10月時点）で確認しています。仕様は更新されるため、設定前に最新版を確認してください。</t>
        </is>
      </c>
    </row>
    <row r="5" ht="23" customHeight="1">
      <c r="B5" s="6" t="inlineStr">
        <is>
          <t>No</t>
        </is>
      </c>
      <c r="C5" s="6" t="inlineStr">
        <is>
          <t>資料</t>
        </is>
      </c>
      <c r="D5" s="6" t="inlineStr">
        <is>
          <t>URL</t>
        </is>
      </c>
      <c r="E5" s="6" t="inlineStr">
        <is>
          <t>使った章</t>
        </is>
      </c>
    </row>
    <row r="6" ht="37" customHeight="1">
      <c r="B6" s="23" t="inlineStr">
        <is>
          <t>1</t>
        </is>
      </c>
      <c r="C6" s="9" t="inlineStr">
        <is>
          <t>AWS Compute Blog：API Gateway の ALB 直結プライベート統合（VPC Link v2、2025年11月）</t>
        </is>
      </c>
      <c r="D6" s="62" t="inlineStr">
        <is>
          <t>https://aws.amazon.com/blogs/compute/build-scalable-rest-apis-using-amazon-api-gateway-private-integration-with-application-load-balancer/</t>
        </is>
      </c>
      <c r="E6" s="23" t="inlineStr">
        <is>
          <t>02・03</t>
        </is>
      </c>
    </row>
    <row r="7" ht="37" customHeight="1">
      <c r="B7" s="24" t="inlineStr">
        <is>
          <t>2</t>
        </is>
      </c>
      <c r="C7" s="12" t="inlineStr">
        <is>
          <t>API Gateway：REST API のプライベート統合</t>
        </is>
      </c>
      <c r="D7" s="63" t="inlineStr">
        <is>
          <t>https://docs.aws.amazon.com/apigateway/latest/developerguide/private-integration.html</t>
        </is>
      </c>
      <c r="E7" s="24" t="inlineStr">
        <is>
          <t>02・05</t>
        </is>
      </c>
    </row>
    <row r="8" ht="37" customHeight="1">
      <c r="B8" s="23" t="inlineStr">
        <is>
          <t>3</t>
        </is>
      </c>
      <c r="C8" s="9" t="inlineStr">
        <is>
          <t>API Gateway：REST API のクォータ（統合タイムアウト）</t>
        </is>
      </c>
      <c r="D8" s="62" t="inlineStr">
        <is>
          <t>https://docs.aws.amazon.com/apigateway/latest/developerguide/api-gateway-execution-service-limits-table.html</t>
        </is>
      </c>
      <c r="E8" s="23" t="inlineStr">
        <is>
          <t>05・07</t>
        </is>
      </c>
    </row>
    <row r="9" ht="37" customHeight="1">
      <c r="B9" s="24" t="inlineStr">
        <is>
          <t>4</t>
        </is>
      </c>
      <c r="C9" s="12" t="inlineStr">
        <is>
          <t>What's New：統合タイムアウトの29秒超への引上げ（2024年6月）</t>
        </is>
      </c>
      <c r="D9" s="63" t="inlineStr">
        <is>
          <t>https://aws.amazon.com/about-aws/whats-new/2024/06/amazon-api-gateway-integration-timeout-limit-29-seconds/</t>
        </is>
      </c>
      <c r="E9" s="24" t="inlineStr">
        <is>
          <t>03・07</t>
        </is>
      </c>
    </row>
    <row r="10" ht="37" customHeight="1">
      <c r="B10" s="23" t="inlineStr">
        <is>
          <t>5</t>
        </is>
      </c>
      <c r="C10" s="9" t="inlineStr">
        <is>
          <t>What's New：REST API のレスポンスストリーミング（2025年11月）</t>
        </is>
      </c>
      <c r="D10" s="62" t="inlineStr">
        <is>
          <t>https://aws.amazon.com/about-aws/whats-new/2025/11/api-gateway-response-streaming-rest-apis/</t>
        </is>
      </c>
      <c r="E10" s="23" t="inlineStr">
        <is>
          <t>03・05</t>
        </is>
      </c>
    </row>
    <row r="11" ht="22" customHeight="1">
      <c r="B11" s="24" t="inlineStr">
        <is>
          <t>6</t>
        </is>
      </c>
      <c r="C11" s="12" t="inlineStr">
        <is>
          <t>AWS re:Post：API Gateway のタイムアウト上限を引き上げる方法</t>
        </is>
      </c>
      <c r="D11" s="63" t="inlineStr">
        <is>
          <t>https://repost.aws/knowledge-center/api-gateway-timeout-limit</t>
        </is>
      </c>
      <c r="E11" s="24" t="inlineStr">
        <is>
          <t>05・07</t>
        </is>
      </c>
    </row>
    <row r="12" ht="37" customHeight="1">
      <c r="B12" s="23" t="inlineStr">
        <is>
          <t>7</t>
        </is>
      </c>
      <c r="C12" s="9" t="inlineStr">
        <is>
          <t>ALB：ロードバランサー属性（idle、client keepalive）</t>
        </is>
      </c>
      <c r="D12" s="62" t="inlineStr">
        <is>
          <t>https://docs.aws.amazon.com/elasticloadbalancing/latest/application/edit-load-balancer-attributes.html</t>
        </is>
      </c>
      <c r="E12" s="23" t="inlineStr">
        <is>
          <t>04・05</t>
        </is>
      </c>
    </row>
    <row r="13" ht="37" customHeight="1">
      <c r="B13" s="24" t="inlineStr">
        <is>
          <t>8</t>
        </is>
      </c>
      <c r="C13" s="12" t="inlineStr">
        <is>
          <t>ALB：ターゲットグループ属性（登録解除遅延）</t>
        </is>
      </c>
      <c r="D13" s="63" t="inlineStr">
        <is>
          <t>https://docs.aws.amazon.com/elasticloadbalancing/latest/application/edit-target-group-attributes.html</t>
        </is>
      </c>
      <c r="E13" s="24" t="inlineStr">
        <is>
          <t>05</t>
        </is>
      </c>
    </row>
    <row r="14" ht="37" customHeight="1">
      <c r="B14" s="23" t="inlineStr">
        <is>
          <t>9</t>
        </is>
      </c>
      <c r="C14" s="9" t="inlineStr">
        <is>
          <t>RDS Proxy：接続に関する考慮事項（IdleClientTimeout、ConnectionBorrowTimeout、24時間）</t>
        </is>
      </c>
      <c r="D14" s="62" t="inlineStr">
        <is>
          <t>https://docs.aws.amazon.com/AmazonRDS/latest/AuroraUserGuide/rds-proxy-connections.html</t>
        </is>
      </c>
      <c r="E14" s="23" t="inlineStr">
        <is>
          <t>04・05</t>
        </is>
      </c>
    </row>
    <row r="15" ht="37" customHeight="1">
      <c r="B15" s="24" t="inlineStr">
        <is>
          <t>10</t>
        </is>
      </c>
      <c r="C15" s="12" t="inlineStr">
        <is>
          <t>RDS Proxy：ピン留めの回避</t>
        </is>
      </c>
      <c r="D15" s="63" t="inlineStr">
        <is>
          <t>https://docs.aws.amazon.com/AmazonRDS/latest/AuroraUserGuide/rds-proxy-pinning.html</t>
        </is>
      </c>
      <c r="E15" s="24" t="inlineStr">
        <is>
          <t>04</t>
        </is>
      </c>
    </row>
    <row r="16" ht="37" customHeight="1">
      <c r="B16" s="23" t="inlineStr">
        <is>
          <t>11</t>
        </is>
      </c>
      <c r="C16" s="9" t="inlineStr">
        <is>
          <t>RDS Proxy：クォータと制限</t>
        </is>
      </c>
      <c r="D16" s="62" t="inlineStr">
        <is>
          <t>https://docs.aws.amazon.com/AmazonRDS/latest/AuroraUserGuide/rds-proxy.html</t>
        </is>
      </c>
      <c r="E16" s="23" t="inlineStr">
        <is>
          <t>02・04</t>
        </is>
      </c>
    </row>
    <row r="17" ht="37" customHeight="1">
      <c r="B17" s="24" t="inlineStr">
        <is>
          <t>12</t>
        </is>
      </c>
      <c r="C17" s="12" t="inlineStr">
        <is>
          <t>RDS Proxy：プロキシの作成（各設定項目）</t>
        </is>
      </c>
      <c r="D17" s="63" t="inlineStr">
        <is>
          <t>https://docs.aws.amazon.com/AmazonRDS/latest/AuroraUserGuide/rds-proxy-creating.html</t>
        </is>
      </c>
      <c r="E17" s="24" t="inlineStr">
        <is>
          <t>05</t>
        </is>
      </c>
    </row>
    <row r="18" ht="37" customHeight="1">
      <c r="B18" s="23" t="inlineStr">
        <is>
          <t>13</t>
        </is>
      </c>
      <c r="C18" s="9" t="inlineStr">
        <is>
          <t>RDS API：ConnectionPoolConfiguration</t>
        </is>
      </c>
      <c r="D18" s="62" t="inlineStr">
        <is>
          <t>https://docs.aws.amazon.com/AmazonRDS/latest/APIReference/API_ConnectionPoolConfiguration.html</t>
        </is>
      </c>
      <c r="E18" s="23" t="inlineStr">
        <is>
          <t>05</t>
        </is>
      </c>
    </row>
    <row r="19" ht="37" customHeight="1">
      <c r="B19" s="24" t="inlineStr">
        <is>
          <t>14</t>
        </is>
      </c>
      <c r="C19" s="12" t="inlineStr">
        <is>
          <t>AWS Database Blog：RDS Proxy によるアプリケーション可用性の向上</t>
        </is>
      </c>
      <c r="D19" s="63" t="inlineStr">
        <is>
          <t>https://aws.amazon.com/blogs/database/improving-application-availability-with-amazon-rds-proxy/</t>
        </is>
      </c>
      <c r="E19" s="24" t="inlineStr">
        <is>
          <t>04</t>
        </is>
      </c>
    </row>
    <row r="20" ht="37" customHeight="1">
      <c r="B20" s="23" t="inlineStr">
        <is>
          <t>15</t>
        </is>
      </c>
      <c r="C20" s="9" t="inlineStr">
        <is>
          <t>Aurora Serverless v2：0 ACU への自動一時停止と再開</t>
        </is>
      </c>
      <c r="D20" s="62" t="inlineStr">
        <is>
          <t>https://docs.aws.amazon.com/AmazonRDS/latest/AuroraUserGuide/aurora-serverless-v2-auto-pause.html</t>
        </is>
      </c>
      <c r="E20" s="23" t="inlineStr">
        <is>
          <t>04・05</t>
        </is>
      </c>
    </row>
    <row r="21" ht="37" customHeight="1">
      <c r="B21" s="24" t="inlineStr">
        <is>
          <t>16</t>
        </is>
      </c>
      <c r="C21" s="12" t="inlineStr">
        <is>
          <t>Aurora MySQL：MySQL 機能の推奨事項（XA）</t>
        </is>
      </c>
      <c r="D21" s="63" t="inlineStr">
        <is>
          <t>https://docs.aws.amazon.com/AmazonRDS/latest/AuroraUserGuide/AuroraMySQL.BestPractices.FeatureRecommendations.html</t>
        </is>
      </c>
      <c r="E21" s="24" t="inlineStr">
        <is>
          <t>02</t>
        </is>
      </c>
    </row>
    <row r="22" ht="37" customHeight="1">
      <c r="B22" s="23" t="inlineStr">
        <is>
          <t>17</t>
        </is>
      </c>
      <c r="C22" s="9" t="inlineStr">
        <is>
          <t>Salesforce：コールアウトの制限（タイムアウト）</t>
        </is>
      </c>
      <c r="D22" s="62" t="inlineStr">
        <is>
          <t>https://developer.salesforce.com/docs/atlas.en-us.apexcode.meta/apexcode/apex_callouts_timeouts.htm</t>
        </is>
      </c>
      <c r="E22" s="23" t="inlineStr">
        <is>
          <t>05</t>
        </is>
      </c>
    </row>
    <row r="23" ht="37" customHeight="1">
      <c r="B23" s="24" t="inlineStr">
        <is>
          <t>18</t>
        </is>
      </c>
      <c r="C23" s="12" t="inlineStr">
        <is>
          <t>Red Hat：JBoss EAP 8.1 ドキュメント</t>
        </is>
      </c>
      <c r="D23" s="63" t="inlineStr">
        <is>
          <t>https://docs.redhat.com/en/documentation/red_hat_jboss_enterprise_application_platform/8.1</t>
        </is>
      </c>
      <c r="E23" s="24" t="inlineStr">
        <is>
          <t>全般</t>
        </is>
      </c>
    </row>
    <row r="24" ht="22" customHeight="1">
      <c r="B24" s="23" t="inlineStr">
        <is>
          <t>19</t>
        </is>
      </c>
      <c r="C24" s="9" t="inlineStr">
        <is>
          <t>Red Hat：JBoss EAP 8 メンテナンススケジュール</t>
        </is>
      </c>
      <c r="D24" s="62" t="inlineStr">
        <is>
          <t>https://access.redhat.com/articles/7039745</t>
        </is>
      </c>
      <c r="E24" s="23" t="inlineStr">
        <is>
          <t>03</t>
        </is>
      </c>
    </row>
    <row r="25" ht="52" customHeight="1">
      <c r="B25" s="24" t="inlineStr">
        <is>
          <t>20</t>
        </is>
      </c>
      <c r="C25" s="12" t="inlineStr">
        <is>
          <t>Red Hat：JBoss EAP 8.0 Undertow チューニング（no-request-timeout）</t>
        </is>
      </c>
      <c r="D25" s="63" t="inlineStr">
        <is>
          <t>https://docs.redhat.com/en/documentation/red_hat_jboss_enterprise_application_platform/8.0/html/performance_tuning_for_red_hat_jboss_enterprise_application_platform/assembly-undertow-tuning_performance-tuning-guide</t>
        </is>
      </c>
      <c r="E25" s="24" t="inlineStr">
        <is>
          <t>05</t>
        </is>
      </c>
    </row>
    <row r="26" ht="37" customHeight="1">
      <c r="B26" s="23" t="inlineStr">
        <is>
          <t>21</t>
        </is>
      </c>
      <c r="C26" s="9" t="inlineStr">
        <is>
          <t>Red Hat：JBoss EAP 8.0 データソース管理</t>
        </is>
      </c>
      <c r="D26" s="62" t="inlineStr">
        <is>
          <t>https://docs.redhat.com/en/documentation/red_hat_jboss_enterprise_application_platform/8.0/html/configuration_guide/datasource_management</t>
        </is>
      </c>
      <c r="E26" s="23" t="inlineStr">
        <is>
          <t>05・12</t>
        </is>
      </c>
    </row>
    <row r="27" ht="37" customHeight="1">
      <c r="B27" s="24" t="inlineStr">
        <is>
          <t>22</t>
        </is>
      </c>
      <c r="C27" s="12" t="inlineStr">
        <is>
          <t>WildFly モデルリファレンス：Undertow http-listener</t>
        </is>
      </c>
      <c r="D27" s="63" t="inlineStr">
        <is>
          <t>https://docs.wildfly.org/37/wildscribe/subsystem/undertow/server/http-listener/index.html</t>
        </is>
      </c>
      <c r="E27" s="24" t="inlineStr">
        <is>
          <t>05</t>
        </is>
      </c>
    </row>
    <row r="28" ht="22" customHeight="1">
      <c r="B28" s="23" t="inlineStr">
        <is>
          <t>23</t>
        </is>
      </c>
      <c r="C28" s="9" t="inlineStr">
        <is>
          <t>WildFly モデルリファレンス：transactions</t>
        </is>
      </c>
      <c r="D28" s="62" t="inlineStr">
        <is>
          <t>https://docs.wildfly.org/37/wildscribe/subsystem/transactions/index.html</t>
        </is>
      </c>
      <c r="E28" s="23" t="inlineStr">
        <is>
          <t>05</t>
        </is>
      </c>
    </row>
    <row r="29" ht="37" customHeight="1">
      <c r="B29" s="24" t="inlineStr">
        <is>
          <t>24</t>
        </is>
      </c>
      <c r="C29" s="12" t="inlineStr">
        <is>
          <t>WildFly モデルリファレンス：xa-data-source</t>
        </is>
      </c>
      <c r="D29" s="63" t="inlineStr">
        <is>
          <t>https://docs.wildfly.org/37/wildscribe/subsystem/datasources/xa-data-source/index.html</t>
        </is>
      </c>
      <c r="E29" s="24" t="inlineStr">
        <is>
          <t>05</t>
        </is>
      </c>
    </row>
    <row r="30" ht="22" customHeight="1">
      <c r="B30" s="23" t="inlineStr">
        <is>
          <t>25</t>
        </is>
      </c>
      <c r="C30" s="9" t="inlineStr">
        <is>
          <t>MySQL 8.0：サーバシステム変数</t>
        </is>
      </c>
      <c r="D30" s="62" t="inlineStr">
        <is>
          <t>https://dev.mysql.com/doc/refman/8.0/en/server-system-variables.html</t>
        </is>
      </c>
      <c r="E30" s="23" t="inlineStr">
        <is>
          <t>05</t>
        </is>
      </c>
    </row>
    <row r="31" ht="22" customHeight="1">
      <c r="B31" s="24" t="inlineStr">
        <is>
          <t>26</t>
        </is>
      </c>
      <c r="C31" s="12" t="inlineStr">
        <is>
          <t>MySQL 8.0：InnoDB の起動オプションとシステム変数</t>
        </is>
      </c>
      <c r="D31" s="63" t="inlineStr">
        <is>
          <t>https://dev.mysql.com/doc/refman/8.0/en/innodb-parameters.html</t>
        </is>
      </c>
      <c r="E31" s="24" t="inlineStr">
        <is>
          <t>05</t>
        </is>
      </c>
    </row>
    <row r="32" ht="37" customHeight="1">
      <c r="B32" s="23" t="inlineStr">
        <is>
          <t>27</t>
        </is>
      </c>
      <c r="C32" s="9" t="inlineStr">
        <is>
          <t>MySQL Connector/J：設定プロパティ</t>
        </is>
      </c>
      <c r="D32" s="62" t="inlineStr">
        <is>
          <t>https://dev.mysql.com/doc/connector-j/en/connector-j-reference-configuration-properties.html</t>
        </is>
      </c>
      <c r="E32" s="23" t="inlineStr">
        <is>
          <t>05</t>
        </is>
      </c>
    </row>
    <row r="33" ht="37" customHeight="1">
      <c r="B33" s="24" t="inlineStr">
        <is>
          <t>28</t>
        </is>
      </c>
      <c r="C33" s="12" t="inlineStr">
        <is>
          <t>Amazon ECS：タスク定義パラメータ（stopTimeout）</t>
        </is>
      </c>
      <c r="D33" s="63" t="inlineStr">
        <is>
          <t>https://docs.aws.amazon.com/AmazonECS/latest/developerguide/task_definition_parameters.html</t>
        </is>
      </c>
      <c r="E33" s="24" t="inlineStr">
        <is>
          <t>05</t>
        </is>
      </c>
    </row>
    <row r="34" ht="22" customHeight="1">
      <c r="B34" s="23" t="inlineStr">
        <is>
          <t>29</t>
        </is>
      </c>
      <c r="C34" s="9" t="inlineStr">
        <is>
          <t>AWS Architecture Blog：Exponential Backoff And Jitter</t>
        </is>
      </c>
      <c r="D34" s="62" t="inlineStr">
        <is>
          <t>https://aws.amazon.com/blogs/architecture/exponential-backoff-and-jitter/</t>
        </is>
      </c>
      <c r="E34" s="23" t="inlineStr">
        <is>
          <t>03</t>
        </is>
      </c>
    </row>
    <row r="35" ht="37" customHeight="1">
      <c r="B35" s="24" t="inlineStr">
        <is>
          <t>30</t>
        </is>
      </c>
      <c r="C35" s="12" t="inlineStr">
        <is>
          <t>RFC 1122：Requirements for Internet Hosts（TCP keep-alive）</t>
        </is>
      </c>
      <c r="D35" s="63" t="inlineStr">
        <is>
          <t>https://www.rfc-editor.org/rfc/rfc1122</t>
        </is>
      </c>
      <c r="E35" s="24" t="inlineStr">
        <is>
          <t>03</t>
        </is>
      </c>
    </row>
  </sheetData>
  <mergeCells count="4">
    <mergeCell ref="B4:E4"/>
    <mergeCell ref="B2:C2"/>
    <mergeCell ref="B1:E1"/>
    <mergeCell ref="D2:E2"/>
  </mergeCells>
  <hyperlinks>
    <hyperlink xmlns:r="http://schemas.openxmlformats.org/officeDocument/2006/relationships" ref="B2"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s>
  <printOptions horizontalCentered="1"/>
  <pageMargins left="0.4" right="0.4" top="0.5" bottom="0.5" header="0.25" footer="0.25"/>
  <pageSetup orientation="landscape" paperSize="9" fitToHeight="0" fitToWidth="1"/>
  <headerFooter>
    <oddHeader>&amp;R&amp;"Meiryo UI"&amp;A</oddHeader>
    <oddFooter>&amp;C&amp;"Meiryo UI"&amp;P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dc:creator>
  <dc:title xmlns:dc="http://purl.org/dc/elements/1.1/">Aurora Serverless v2 共有構成のタイムアウト設計ガイド</dc:title>
  <dcterms:created xmlns:dcterms="http://purl.org/dc/terms/" xmlns:xsi="http://www.w3.org/2001/XMLSchema-instance" xsi:type="dcterms:W3CDTF">2026-10-16T21:06:38Z</dcterms:created>
  <dcterms:modified xmlns:dcterms="http://purl.org/dc/terms/" xmlns:xsi="http://www.w3.org/2001/XMLSchema-instance" xsi:type="dcterms:W3CDTF">2026-10-16T21:06:39Z</dcterms:modified>
</cp:coreProperties>
</file>